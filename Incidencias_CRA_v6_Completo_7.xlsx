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 Luis\Downloads\"/>
    </mc:Choice>
  </mc:AlternateContent>
  <xr:revisionPtr revIDLastSave="0" documentId="13_ncr:1_{C0843467-F81E-44A1-B945-9C313731E05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gistro Incidencias" sheetId="1" r:id="rId1"/>
    <sheet name="📅 Semana" sheetId="2" r:id="rId2"/>
    <sheet name="📌 Raúl" sheetId="3" r:id="rId3"/>
    <sheet name="📌 Juan Luis" sheetId="4" r:id="rId4"/>
    <sheet name="📌 Paco" sheetId="5" r:id="rId5"/>
    <sheet name="📌 Juan Manuel" sheetId="6" r:id="rId6"/>
    <sheet name="📌 Adrián" sheetId="7" r:id="rId7"/>
    <sheet name="Dashboard KPIs" sheetId="8" r:id="rId8"/>
    <sheet name="Inventario Materiales" sheetId="9" r:id="rId9"/>
    <sheet name="Configuración" sheetId="10" r:id="rId10"/>
    <sheet name="📊 Histórico Mensual" sheetId="11" r:id="rId11"/>
  </sheets>
  <definedNames>
    <definedName name="_xlnm._FilterDatabase" localSheetId="8" hidden="1">'Inventario Materiales'!$A$4:$J$34</definedName>
    <definedName name="_xlnm._FilterDatabase" localSheetId="0" hidden="1">'Registro Incidencias'!$A$4:$AW$200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81" i="11" l="1"/>
  <c r="Q81" i="11"/>
  <c r="P81" i="11"/>
  <c r="O81" i="11"/>
  <c r="M81" i="11"/>
  <c r="L81" i="11"/>
  <c r="K81" i="11"/>
  <c r="N81" i="11" s="1"/>
  <c r="J81" i="11"/>
  <c r="I81" i="11"/>
  <c r="H81" i="11"/>
  <c r="G81" i="11"/>
  <c r="E81" i="11"/>
  <c r="F81" i="11" s="1"/>
  <c r="D81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E80" i="11"/>
  <c r="F80" i="11" s="1"/>
  <c r="D80" i="11"/>
  <c r="Q79" i="11"/>
  <c r="P79" i="11"/>
  <c r="O79" i="11"/>
  <c r="M79" i="11"/>
  <c r="N79" i="11" s="1"/>
  <c r="L79" i="11"/>
  <c r="K79" i="11"/>
  <c r="J79" i="11"/>
  <c r="I79" i="11"/>
  <c r="H79" i="11"/>
  <c r="G79" i="11"/>
  <c r="E79" i="11"/>
  <c r="F79" i="11" s="1"/>
  <c r="D79" i="11"/>
  <c r="R79" i="11" s="1"/>
  <c r="P78" i="11"/>
  <c r="O78" i="11"/>
  <c r="N78" i="11"/>
  <c r="M78" i="11"/>
  <c r="L78" i="11"/>
  <c r="K78" i="11"/>
  <c r="J78" i="11"/>
  <c r="I78" i="11"/>
  <c r="H78" i="11"/>
  <c r="G78" i="11"/>
  <c r="Q78" i="11" s="1"/>
  <c r="E78" i="11"/>
  <c r="F78" i="11" s="1"/>
  <c r="D78" i="11"/>
  <c r="R78" i="11" s="1"/>
  <c r="P77" i="11"/>
  <c r="O77" i="11"/>
  <c r="M77" i="11"/>
  <c r="L77" i="11"/>
  <c r="K77" i="11"/>
  <c r="N77" i="11" s="1"/>
  <c r="J77" i="11"/>
  <c r="I77" i="11"/>
  <c r="H77" i="11"/>
  <c r="G77" i="11"/>
  <c r="Q77" i="11" s="1"/>
  <c r="E77" i="11"/>
  <c r="F77" i="11" s="1"/>
  <c r="D77" i="11"/>
  <c r="R77" i="11" s="1"/>
  <c r="P76" i="11"/>
  <c r="O76" i="11"/>
  <c r="M76" i="11"/>
  <c r="L76" i="11"/>
  <c r="N76" i="11" s="1"/>
  <c r="K76" i="11"/>
  <c r="J76" i="11"/>
  <c r="I76" i="11"/>
  <c r="H76" i="11"/>
  <c r="G76" i="11"/>
  <c r="Q76" i="11" s="1"/>
  <c r="F76" i="11"/>
  <c r="E76" i="11"/>
  <c r="D76" i="11"/>
  <c r="R76" i="11" s="1"/>
  <c r="P75" i="11"/>
  <c r="O75" i="11"/>
  <c r="M75" i="11"/>
  <c r="L75" i="11"/>
  <c r="K75" i="11"/>
  <c r="N75" i="11" s="1"/>
  <c r="J75" i="11"/>
  <c r="I75" i="11"/>
  <c r="H75" i="11"/>
  <c r="G75" i="11"/>
  <c r="Q75" i="11" s="1"/>
  <c r="E75" i="11"/>
  <c r="F75" i="11" s="1"/>
  <c r="D75" i="11"/>
  <c r="R75" i="11" s="1"/>
  <c r="P74" i="11"/>
  <c r="O74" i="11"/>
  <c r="M74" i="11"/>
  <c r="L74" i="11"/>
  <c r="K74" i="11"/>
  <c r="N74" i="11" s="1"/>
  <c r="J74" i="11"/>
  <c r="I74" i="11"/>
  <c r="H74" i="11"/>
  <c r="G74" i="11"/>
  <c r="Q74" i="11" s="1"/>
  <c r="E74" i="11"/>
  <c r="F74" i="11" s="1"/>
  <c r="D74" i="11"/>
  <c r="R74" i="11" s="1"/>
  <c r="P73" i="11"/>
  <c r="O73" i="11"/>
  <c r="M73" i="11"/>
  <c r="L73" i="11"/>
  <c r="K73" i="11"/>
  <c r="N73" i="11" s="1"/>
  <c r="J73" i="11"/>
  <c r="I73" i="11"/>
  <c r="H73" i="11"/>
  <c r="G73" i="11"/>
  <c r="Q73" i="11" s="1"/>
  <c r="F73" i="11"/>
  <c r="E73" i="11"/>
  <c r="D73" i="11"/>
  <c r="R73" i="11" s="1"/>
  <c r="P72" i="11"/>
  <c r="O72" i="11"/>
  <c r="M72" i="11"/>
  <c r="L72" i="11"/>
  <c r="K72" i="11"/>
  <c r="N72" i="11" s="1"/>
  <c r="J72" i="11"/>
  <c r="I72" i="11"/>
  <c r="H72" i="11"/>
  <c r="G72" i="11"/>
  <c r="Q72" i="11" s="1"/>
  <c r="F72" i="11"/>
  <c r="E72" i="11"/>
  <c r="D72" i="11"/>
  <c r="R72" i="11" s="1"/>
  <c r="P71" i="11"/>
  <c r="O71" i="11"/>
  <c r="M71" i="11"/>
  <c r="L71" i="11"/>
  <c r="K71" i="11"/>
  <c r="N71" i="11" s="1"/>
  <c r="J71" i="11"/>
  <c r="I71" i="11"/>
  <c r="H71" i="11"/>
  <c r="G71" i="11"/>
  <c r="Q71" i="11" s="1"/>
  <c r="E71" i="11"/>
  <c r="F71" i="11" s="1"/>
  <c r="D71" i="11"/>
  <c r="R71" i="11" s="1"/>
  <c r="P70" i="11"/>
  <c r="O70" i="11"/>
  <c r="M70" i="11"/>
  <c r="L70" i="11"/>
  <c r="N70" i="11" s="1"/>
  <c r="K70" i="11"/>
  <c r="J70" i="11"/>
  <c r="I70" i="11"/>
  <c r="H70" i="11"/>
  <c r="G70" i="11"/>
  <c r="Q70" i="11" s="1"/>
  <c r="F70" i="11"/>
  <c r="E70" i="11"/>
  <c r="D70" i="11"/>
  <c r="R70" i="11" s="1"/>
  <c r="P69" i="11"/>
  <c r="O69" i="11"/>
  <c r="M69" i="11"/>
  <c r="L69" i="11"/>
  <c r="K69" i="11"/>
  <c r="N69" i="11" s="1"/>
  <c r="J69" i="11"/>
  <c r="I69" i="11"/>
  <c r="H69" i="11"/>
  <c r="G69" i="11"/>
  <c r="Q69" i="11" s="1"/>
  <c r="E69" i="11"/>
  <c r="F69" i="11" s="1"/>
  <c r="D69" i="11"/>
  <c r="R69" i="11" s="1"/>
  <c r="P68" i="11"/>
  <c r="O68" i="11"/>
  <c r="N68" i="11"/>
  <c r="M68" i="11"/>
  <c r="L68" i="11"/>
  <c r="K68" i="11"/>
  <c r="J68" i="11"/>
  <c r="I68" i="11"/>
  <c r="H68" i="11"/>
  <c r="G68" i="11"/>
  <c r="E68" i="11"/>
  <c r="D68" i="11"/>
  <c r="F68" i="11" s="1"/>
  <c r="Q67" i="11"/>
  <c r="P67" i="11"/>
  <c r="O67" i="11"/>
  <c r="M67" i="11"/>
  <c r="N67" i="11" s="1"/>
  <c r="L67" i="11"/>
  <c r="K67" i="11"/>
  <c r="J67" i="11"/>
  <c r="I67" i="11"/>
  <c r="H67" i="11"/>
  <c r="G67" i="11"/>
  <c r="E67" i="11"/>
  <c r="F67" i="11" s="1"/>
  <c r="D67" i="11"/>
  <c r="R67" i="11" s="1"/>
  <c r="P66" i="11"/>
  <c r="O66" i="11"/>
  <c r="M66" i="11"/>
  <c r="L66" i="11"/>
  <c r="N66" i="11" s="1"/>
  <c r="K66" i="11"/>
  <c r="J66" i="11"/>
  <c r="I66" i="11"/>
  <c r="H66" i="11"/>
  <c r="G66" i="11"/>
  <c r="E66" i="11"/>
  <c r="F66" i="11" s="1"/>
  <c r="D66" i="11"/>
  <c r="R66" i="11" s="1"/>
  <c r="R65" i="11"/>
  <c r="Q65" i="11"/>
  <c r="P65" i="11"/>
  <c r="O65" i="11"/>
  <c r="M65" i="11"/>
  <c r="L65" i="11"/>
  <c r="K65" i="11"/>
  <c r="N65" i="11" s="1"/>
  <c r="J65" i="11"/>
  <c r="I65" i="11"/>
  <c r="H65" i="11"/>
  <c r="G65" i="11"/>
  <c r="E65" i="11"/>
  <c r="F65" i="11" s="1"/>
  <c r="D65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E64" i="11"/>
  <c r="D64" i="11"/>
  <c r="F64" i="11" s="1"/>
  <c r="R63" i="11"/>
  <c r="Q63" i="11"/>
  <c r="P63" i="11"/>
  <c r="O63" i="11"/>
  <c r="M63" i="11"/>
  <c r="N63" i="11" s="1"/>
  <c r="L63" i="11"/>
  <c r="K63" i="11"/>
  <c r="J63" i="11"/>
  <c r="I63" i="11"/>
  <c r="H63" i="11"/>
  <c r="G63" i="11"/>
  <c r="E63" i="11"/>
  <c r="F63" i="11" s="1"/>
  <c r="D63" i="11"/>
  <c r="P62" i="11"/>
  <c r="O62" i="11"/>
  <c r="N62" i="11"/>
  <c r="M62" i="11"/>
  <c r="L62" i="11"/>
  <c r="K62" i="11"/>
  <c r="J62" i="11"/>
  <c r="I62" i="11"/>
  <c r="H62" i="11"/>
  <c r="G62" i="11"/>
  <c r="Q62" i="11" s="1"/>
  <c r="E62" i="11"/>
  <c r="F62" i="11" s="1"/>
  <c r="D62" i="11"/>
  <c r="R62" i="11" s="1"/>
  <c r="P61" i="11"/>
  <c r="O61" i="11"/>
  <c r="M61" i="11"/>
  <c r="L61" i="11"/>
  <c r="K61" i="11"/>
  <c r="N61" i="11" s="1"/>
  <c r="J61" i="11"/>
  <c r="I61" i="11"/>
  <c r="H61" i="11"/>
  <c r="G61" i="11"/>
  <c r="Q61" i="11" s="1"/>
  <c r="E61" i="11"/>
  <c r="F61" i="11" s="1"/>
  <c r="D61" i="11"/>
  <c r="R61" i="11" s="1"/>
  <c r="P60" i="11"/>
  <c r="O60" i="11"/>
  <c r="M60" i="11"/>
  <c r="L60" i="11"/>
  <c r="N60" i="11" s="1"/>
  <c r="K60" i="11"/>
  <c r="J60" i="11"/>
  <c r="I60" i="11"/>
  <c r="H60" i="11"/>
  <c r="G60" i="11"/>
  <c r="Q60" i="11" s="1"/>
  <c r="F60" i="11"/>
  <c r="E60" i="11"/>
  <c r="D60" i="11"/>
  <c r="R60" i="11" s="1"/>
  <c r="P59" i="11"/>
  <c r="O59" i="11"/>
  <c r="M59" i="11"/>
  <c r="L59" i="11"/>
  <c r="K59" i="11"/>
  <c r="N59" i="11" s="1"/>
  <c r="J59" i="11"/>
  <c r="I59" i="11"/>
  <c r="H59" i="11"/>
  <c r="G59" i="11"/>
  <c r="Q59" i="11" s="1"/>
  <c r="E59" i="11"/>
  <c r="F59" i="11" s="1"/>
  <c r="D59" i="11"/>
  <c r="R59" i="11" s="1"/>
  <c r="P58" i="11"/>
  <c r="O58" i="11"/>
  <c r="M58" i="11"/>
  <c r="L58" i="11"/>
  <c r="K58" i="11"/>
  <c r="N58" i="11" s="1"/>
  <c r="J58" i="11"/>
  <c r="I58" i="11"/>
  <c r="H58" i="11"/>
  <c r="G58" i="11"/>
  <c r="Q58" i="11" s="1"/>
  <c r="E58" i="11"/>
  <c r="F58" i="11" s="1"/>
  <c r="D58" i="11"/>
  <c r="R58" i="11" s="1"/>
  <c r="P57" i="11"/>
  <c r="O57" i="11"/>
  <c r="M57" i="11"/>
  <c r="L57" i="11"/>
  <c r="K57" i="11"/>
  <c r="N57" i="11" s="1"/>
  <c r="J57" i="11"/>
  <c r="I57" i="11"/>
  <c r="H57" i="11"/>
  <c r="G57" i="11"/>
  <c r="Q57" i="11" s="1"/>
  <c r="F57" i="11"/>
  <c r="E57" i="11"/>
  <c r="D57" i="11"/>
  <c r="R57" i="11" s="1"/>
  <c r="R56" i="11"/>
  <c r="P56" i="11"/>
  <c r="O56" i="11"/>
  <c r="M56" i="11"/>
  <c r="L56" i="11"/>
  <c r="K56" i="11"/>
  <c r="N56" i="11" s="1"/>
  <c r="J56" i="11"/>
  <c r="I56" i="11"/>
  <c r="H56" i="11"/>
  <c r="G56" i="11"/>
  <c r="Q56" i="11" s="1"/>
  <c r="F56" i="11"/>
  <c r="E56" i="11"/>
  <c r="D56" i="11"/>
  <c r="P55" i="11"/>
  <c r="O55" i="11"/>
  <c r="M55" i="11"/>
  <c r="L55" i="11"/>
  <c r="K55" i="11"/>
  <c r="N55" i="11" s="1"/>
  <c r="J55" i="11"/>
  <c r="I55" i="11"/>
  <c r="H55" i="11"/>
  <c r="G55" i="11"/>
  <c r="Q55" i="11" s="1"/>
  <c r="E55" i="11"/>
  <c r="F55" i="11" s="1"/>
  <c r="D55" i="11"/>
  <c r="R55" i="11" s="1"/>
  <c r="P54" i="11"/>
  <c r="O54" i="11"/>
  <c r="M54" i="11"/>
  <c r="L54" i="11"/>
  <c r="N54" i="11" s="1"/>
  <c r="K54" i="11"/>
  <c r="J54" i="11"/>
  <c r="I54" i="11"/>
  <c r="H54" i="11"/>
  <c r="G54" i="11"/>
  <c r="Q54" i="11" s="1"/>
  <c r="F54" i="11"/>
  <c r="E54" i="11"/>
  <c r="D54" i="11"/>
  <c r="R54" i="11" s="1"/>
  <c r="P53" i="11"/>
  <c r="O53" i="11"/>
  <c r="M53" i="11"/>
  <c r="L53" i="11"/>
  <c r="K53" i="11"/>
  <c r="N53" i="11" s="1"/>
  <c r="J53" i="11"/>
  <c r="I53" i="11"/>
  <c r="H53" i="11"/>
  <c r="G53" i="11"/>
  <c r="Q53" i="11" s="1"/>
  <c r="E53" i="11"/>
  <c r="F53" i="11" s="1"/>
  <c r="D53" i="11"/>
  <c r="R53" i="11" s="1"/>
  <c r="P52" i="11"/>
  <c r="O52" i="11"/>
  <c r="N52" i="11"/>
  <c r="M52" i="11"/>
  <c r="L52" i="11"/>
  <c r="K52" i="11"/>
  <c r="J52" i="11"/>
  <c r="I52" i="11"/>
  <c r="H52" i="11"/>
  <c r="G52" i="11"/>
  <c r="Q52" i="11" s="1"/>
  <c r="E52" i="11"/>
  <c r="D52" i="11"/>
  <c r="R52" i="11" s="1"/>
  <c r="P51" i="11"/>
  <c r="O51" i="11"/>
  <c r="M51" i="11"/>
  <c r="N51" i="11" s="1"/>
  <c r="L51" i="11"/>
  <c r="K51" i="11"/>
  <c r="J51" i="11"/>
  <c r="I51" i="11"/>
  <c r="H51" i="11"/>
  <c r="G51" i="11"/>
  <c r="E51" i="11"/>
  <c r="F51" i="11" s="1"/>
  <c r="D51" i="11"/>
  <c r="R51" i="11" s="1"/>
  <c r="P50" i="11"/>
  <c r="O50" i="11"/>
  <c r="M50" i="11"/>
  <c r="L50" i="11"/>
  <c r="N50" i="11" s="1"/>
  <c r="K50" i="11"/>
  <c r="J50" i="11"/>
  <c r="I50" i="11"/>
  <c r="H50" i="11"/>
  <c r="G50" i="11"/>
  <c r="E50" i="11"/>
  <c r="F50" i="11" s="1"/>
  <c r="D50" i="11"/>
  <c r="Q50" i="11" s="1"/>
  <c r="R49" i="11"/>
  <c r="Q49" i="11"/>
  <c r="P49" i="11"/>
  <c r="O49" i="11"/>
  <c r="N49" i="11"/>
  <c r="M49" i="11"/>
  <c r="L49" i="11"/>
  <c r="K49" i="11"/>
  <c r="J49" i="11"/>
  <c r="I49" i="11"/>
  <c r="H49" i="11"/>
  <c r="G49" i="11"/>
  <c r="E49" i="11"/>
  <c r="F49" i="11" s="1"/>
  <c r="D49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E48" i="11"/>
  <c r="D48" i="11"/>
  <c r="F48" i="11" s="1"/>
  <c r="R47" i="11"/>
  <c r="Q47" i="11"/>
  <c r="P47" i="11"/>
  <c r="O47" i="11"/>
  <c r="M47" i="11"/>
  <c r="L47" i="11"/>
  <c r="N47" i="11" s="1"/>
  <c r="K47" i="11"/>
  <c r="J47" i="11"/>
  <c r="I47" i="11"/>
  <c r="H47" i="11"/>
  <c r="G47" i="11"/>
  <c r="E47" i="11"/>
  <c r="F47" i="11" s="1"/>
  <c r="D47" i="11"/>
  <c r="Q46" i="11"/>
  <c r="P46" i="11"/>
  <c r="O46" i="11"/>
  <c r="N46" i="11"/>
  <c r="M46" i="11"/>
  <c r="L46" i="11"/>
  <c r="K46" i="11"/>
  <c r="J46" i="11"/>
  <c r="I46" i="11"/>
  <c r="H46" i="11"/>
  <c r="G46" i="11"/>
  <c r="E46" i="11"/>
  <c r="F46" i="11" s="1"/>
  <c r="D46" i="11"/>
  <c r="R46" i="11" s="1"/>
  <c r="P45" i="11"/>
  <c r="O45" i="11"/>
  <c r="M45" i="11"/>
  <c r="N45" i="11" s="1"/>
  <c r="L45" i="11"/>
  <c r="K45" i="11"/>
  <c r="J45" i="11"/>
  <c r="I45" i="11"/>
  <c r="H45" i="11"/>
  <c r="G45" i="11"/>
  <c r="Q45" i="11" s="1"/>
  <c r="E45" i="11"/>
  <c r="F45" i="11" s="1"/>
  <c r="D45" i="11"/>
  <c r="R45" i="11" s="1"/>
  <c r="P44" i="11"/>
  <c r="O44" i="11"/>
  <c r="M44" i="11"/>
  <c r="L44" i="11"/>
  <c r="N44" i="11" s="1"/>
  <c r="K44" i="11"/>
  <c r="J44" i="11"/>
  <c r="I44" i="11"/>
  <c r="H44" i="11"/>
  <c r="G44" i="11"/>
  <c r="Q44" i="11" s="1"/>
  <c r="F44" i="11"/>
  <c r="E44" i="11"/>
  <c r="D44" i="11"/>
  <c r="R44" i="11" s="1"/>
  <c r="P43" i="11"/>
  <c r="O43" i="11"/>
  <c r="M43" i="11"/>
  <c r="L43" i="11"/>
  <c r="K43" i="11"/>
  <c r="N43" i="11" s="1"/>
  <c r="J43" i="11"/>
  <c r="I43" i="11"/>
  <c r="H43" i="11"/>
  <c r="G43" i="11"/>
  <c r="Q43" i="11" s="1"/>
  <c r="E43" i="11"/>
  <c r="F43" i="11" s="1"/>
  <c r="D43" i="11"/>
  <c r="R43" i="11" s="1"/>
  <c r="P42" i="11"/>
  <c r="O42" i="11"/>
  <c r="M42" i="11"/>
  <c r="L42" i="11"/>
  <c r="K42" i="11"/>
  <c r="J42" i="11"/>
  <c r="I42" i="11"/>
  <c r="H42" i="11"/>
  <c r="G42" i="11"/>
  <c r="Q42" i="11" s="1"/>
  <c r="E42" i="11"/>
  <c r="F42" i="11" s="1"/>
  <c r="D42" i="11"/>
  <c r="R42" i="11" s="1"/>
  <c r="P41" i="11"/>
  <c r="O41" i="11"/>
  <c r="M41" i="11"/>
  <c r="L41" i="11"/>
  <c r="K41" i="11"/>
  <c r="N41" i="11" s="1"/>
  <c r="J41" i="11"/>
  <c r="I41" i="11"/>
  <c r="H41" i="11"/>
  <c r="G41" i="11"/>
  <c r="Q41" i="11" s="1"/>
  <c r="F41" i="11"/>
  <c r="E41" i="11"/>
  <c r="D41" i="11"/>
  <c r="R41" i="11" s="1"/>
  <c r="R40" i="11"/>
  <c r="P40" i="11"/>
  <c r="O40" i="11"/>
  <c r="M40" i="11"/>
  <c r="L40" i="11"/>
  <c r="K40" i="11"/>
  <c r="N40" i="11" s="1"/>
  <c r="J40" i="11"/>
  <c r="I40" i="11"/>
  <c r="H40" i="11"/>
  <c r="G40" i="11"/>
  <c r="Q40" i="11" s="1"/>
  <c r="F40" i="11"/>
  <c r="E40" i="11"/>
  <c r="D40" i="11"/>
  <c r="P39" i="11"/>
  <c r="O39" i="11"/>
  <c r="M39" i="11"/>
  <c r="L39" i="11"/>
  <c r="K39" i="11"/>
  <c r="N39" i="11" s="1"/>
  <c r="J39" i="11"/>
  <c r="I39" i="11"/>
  <c r="H39" i="11"/>
  <c r="G39" i="11"/>
  <c r="Q39" i="11" s="1"/>
  <c r="E39" i="11"/>
  <c r="F39" i="11" s="1"/>
  <c r="D39" i="11"/>
  <c r="R39" i="11" s="1"/>
  <c r="P38" i="11"/>
  <c r="O38" i="11"/>
  <c r="M38" i="11"/>
  <c r="L38" i="11"/>
  <c r="N38" i="11" s="1"/>
  <c r="K38" i="11"/>
  <c r="J38" i="11"/>
  <c r="I38" i="11"/>
  <c r="H38" i="11"/>
  <c r="G38" i="11"/>
  <c r="Q38" i="11" s="1"/>
  <c r="F38" i="11"/>
  <c r="E38" i="11"/>
  <c r="D38" i="11"/>
  <c r="R38" i="11" s="1"/>
  <c r="P37" i="11"/>
  <c r="O37" i="11"/>
  <c r="M37" i="11"/>
  <c r="L37" i="11"/>
  <c r="K37" i="11"/>
  <c r="N37" i="11" s="1"/>
  <c r="J37" i="11"/>
  <c r="I37" i="11"/>
  <c r="H37" i="11"/>
  <c r="G37" i="11"/>
  <c r="Q37" i="11" s="1"/>
  <c r="E37" i="11"/>
  <c r="F37" i="11" s="1"/>
  <c r="D37" i="11"/>
  <c r="R37" i="11" s="1"/>
  <c r="P36" i="11"/>
  <c r="O36" i="11"/>
  <c r="N36" i="11"/>
  <c r="M36" i="11"/>
  <c r="L36" i="11"/>
  <c r="K36" i="11"/>
  <c r="J36" i="11"/>
  <c r="I36" i="11"/>
  <c r="H36" i="11"/>
  <c r="G36" i="11"/>
  <c r="Q36" i="11" s="1"/>
  <c r="F36" i="11"/>
  <c r="E36" i="11"/>
  <c r="D36" i="11"/>
  <c r="R36" i="11" s="1"/>
  <c r="P35" i="11"/>
  <c r="O35" i="11"/>
  <c r="M35" i="11"/>
  <c r="N35" i="11" s="1"/>
  <c r="L35" i="11"/>
  <c r="K35" i="11"/>
  <c r="J35" i="11"/>
  <c r="I35" i="11"/>
  <c r="H35" i="11"/>
  <c r="G35" i="11"/>
  <c r="E35" i="11"/>
  <c r="F35" i="11" s="1"/>
  <c r="D35" i="11"/>
  <c r="R35" i="11" s="1"/>
  <c r="P34" i="11"/>
  <c r="O34" i="11"/>
  <c r="M34" i="11"/>
  <c r="L34" i="11"/>
  <c r="N34" i="11" s="1"/>
  <c r="K34" i="11"/>
  <c r="J34" i="11"/>
  <c r="I34" i="11"/>
  <c r="H34" i="11"/>
  <c r="G34" i="11"/>
  <c r="E34" i="11"/>
  <c r="D34" i="11"/>
  <c r="Q34" i="11" s="1"/>
  <c r="R33" i="11"/>
  <c r="Q33" i="11"/>
  <c r="P33" i="11"/>
  <c r="O33" i="11"/>
  <c r="N33" i="11"/>
  <c r="M33" i="11"/>
  <c r="L33" i="11"/>
  <c r="K33" i="11"/>
  <c r="J33" i="11"/>
  <c r="I33" i="11"/>
  <c r="H33" i="11"/>
  <c r="G33" i="11"/>
  <c r="E33" i="11"/>
  <c r="F33" i="11" s="1"/>
  <c r="D33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E32" i="11"/>
  <c r="D32" i="11"/>
  <c r="F32" i="11" s="1"/>
  <c r="R31" i="11"/>
  <c r="Q31" i="11"/>
  <c r="P31" i="11"/>
  <c r="O31" i="11"/>
  <c r="M31" i="11"/>
  <c r="L31" i="11"/>
  <c r="N31" i="11" s="1"/>
  <c r="K31" i="11"/>
  <c r="J31" i="11"/>
  <c r="I31" i="11"/>
  <c r="H31" i="11"/>
  <c r="G31" i="11"/>
  <c r="E31" i="11"/>
  <c r="F31" i="11" s="1"/>
  <c r="D31" i="11"/>
  <c r="Q30" i="11"/>
  <c r="P30" i="11"/>
  <c r="O30" i="11"/>
  <c r="N30" i="11"/>
  <c r="M30" i="11"/>
  <c r="L30" i="11"/>
  <c r="K30" i="11"/>
  <c r="J30" i="11"/>
  <c r="I30" i="11"/>
  <c r="H30" i="11"/>
  <c r="G30" i="11"/>
  <c r="E30" i="11"/>
  <c r="F30" i="11" s="1"/>
  <c r="D30" i="11"/>
  <c r="R30" i="11" s="1"/>
  <c r="P29" i="11"/>
  <c r="O29" i="11"/>
  <c r="M29" i="11"/>
  <c r="N29" i="11" s="1"/>
  <c r="L29" i="11"/>
  <c r="K29" i="11"/>
  <c r="J29" i="11"/>
  <c r="I29" i="11"/>
  <c r="H29" i="11"/>
  <c r="G29" i="11"/>
  <c r="Q29" i="11" s="1"/>
  <c r="E29" i="11"/>
  <c r="F29" i="11" s="1"/>
  <c r="D29" i="11"/>
  <c r="R29" i="11" s="1"/>
  <c r="P28" i="11"/>
  <c r="O28" i="11"/>
  <c r="M28" i="11"/>
  <c r="L28" i="11"/>
  <c r="N28" i="11" s="1"/>
  <c r="K28" i="11"/>
  <c r="J28" i="11"/>
  <c r="I28" i="11"/>
  <c r="H28" i="11"/>
  <c r="G28" i="11"/>
  <c r="Q28" i="11" s="1"/>
  <c r="F28" i="11"/>
  <c r="E28" i="11"/>
  <c r="D28" i="11"/>
  <c r="R28" i="11" s="1"/>
  <c r="P27" i="11"/>
  <c r="O27" i="11"/>
  <c r="M27" i="11"/>
  <c r="L27" i="11"/>
  <c r="K27" i="11"/>
  <c r="N27" i="11" s="1"/>
  <c r="J27" i="11"/>
  <c r="I27" i="11"/>
  <c r="H27" i="11"/>
  <c r="G27" i="11"/>
  <c r="Q27" i="11" s="1"/>
  <c r="E27" i="11"/>
  <c r="F27" i="11" s="1"/>
  <c r="D27" i="11"/>
  <c r="R27" i="11" s="1"/>
  <c r="P26" i="11"/>
  <c r="O26" i="11"/>
  <c r="M26" i="11"/>
  <c r="L26" i="11"/>
  <c r="K26" i="11"/>
  <c r="J26" i="11"/>
  <c r="I26" i="11"/>
  <c r="H26" i="11"/>
  <c r="G26" i="11"/>
  <c r="Q26" i="11" s="1"/>
  <c r="E26" i="11"/>
  <c r="F26" i="11" s="1"/>
  <c r="D26" i="11"/>
  <c r="R26" i="11" s="1"/>
  <c r="P25" i="11"/>
  <c r="O25" i="11"/>
  <c r="M25" i="11"/>
  <c r="L25" i="11"/>
  <c r="K25" i="11"/>
  <c r="N25" i="11" s="1"/>
  <c r="J25" i="11"/>
  <c r="I25" i="11"/>
  <c r="H25" i="11"/>
  <c r="G25" i="11"/>
  <c r="Q25" i="11" s="1"/>
  <c r="F25" i="11"/>
  <c r="E25" i="11"/>
  <c r="D25" i="11"/>
  <c r="R25" i="11" s="1"/>
  <c r="P24" i="11"/>
  <c r="O24" i="11"/>
  <c r="M24" i="11"/>
  <c r="L24" i="11"/>
  <c r="K24" i="11"/>
  <c r="N24" i="11" s="1"/>
  <c r="J24" i="11"/>
  <c r="I24" i="11"/>
  <c r="H24" i="11"/>
  <c r="G24" i="11"/>
  <c r="Q24" i="11" s="1"/>
  <c r="F24" i="11"/>
  <c r="E24" i="11"/>
  <c r="D24" i="11"/>
  <c r="R24" i="11" s="1"/>
  <c r="P23" i="11"/>
  <c r="O23" i="11"/>
  <c r="M23" i="11"/>
  <c r="L23" i="11"/>
  <c r="K23" i="11"/>
  <c r="N23" i="11" s="1"/>
  <c r="J23" i="11"/>
  <c r="I23" i="11"/>
  <c r="H23" i="11"/>
  <c r="G23" i="11"/>
  <c r="Q23" i="11" s="1"/>
  <c r="E23" i="11"/>
  <c r="F23" i="11" s="1"/>
  <c r="D23" i="11"/>
  <c r="R23" i="11" s="1"/>
  <c r="P22" i="11"/>
  <c r="O22" i="11"/>
  <c r="M22" i="11"/>
  <c r="L22" i="11"/>
  <c r="N22" i="11" s="1"/>
  <c r="K22" i="11"/>
  <c r="J22" i="11"/>
  <c r="I22" i="11"/>
  <c r="H22" i="11"/>
  <c r="G22" i="11"/>
  <c r="Q22" i="11" s="1"/>
  <c r="F22" i="11"/>
  <c r="E22" i="11"/>
  <c r="D22" i="11"/>
  <c r="R22" i="11" s="1"/>
  <c r="J17" i="11"/>
  <c r="G17" i="11"/>
  <c r="F17" i="11"/>
  <c r="E17" i="11"/>
  <c r="M87" i="11" s="1"/>
  <c r="C17" i="11"/>
  <c r="B17" i="11"/>
  <c r="Q17" i="11" s="1"/>
  <c r="N16" i="11"/>
  <c r="M16" i="11"/>
  <c r="L16" i="11"/>
  <c r="K16" i="11"/>
  <c r="J16" i="11"/>
  <c r="L89" i="11" s="1"/>
  <c r="I16" i="11"/>
  <c r="L88" i="11" s="1"/>
  <c r="H16" i="11"/>
  <c r="G16" i="11"/>
  <c r="F16" i="11"/>
  <c r="E16" i="11"/>
  <c r="L87" i="11" s="1"/>
  <c r="D16" i="11"/>
  <c r="T16" i="11" s="1"/>
  <c r="C16" i="11"/>
  <c r="B16" i="11"/>
  <c r="S16" i="11" s="1"/>
  <c r="Q15" i="11"/>
  <c r="P15" i="11"/>
  <c r="K91" i="11" s="1"/>
  <c r="N15" i="11"/>
  <c r="O15" i="11" s="1"/>
  <c r="K90" i="11" s="1"/>
  <c r="M15" i="11"/>
  <c r="L15" i="11"/>
  <c r="J15" i="11"/>
  <c r="K89" i="11" s="1"/>
  <c r="G15" i="11"/>
  <c r="C15" i="11"/>
  <c r="B15" i="11"/>
  <c r="F15" i="11" s="1"/>
  <c r="S14" i="11"/>
  <c r="C14" i="11"/>
  <c r="Q14" i="11" s="1"/>
  <c r="B14" i="11"/>
  <c r="J14" i="11" s="1"/>
  <c r="G13" i="11"/>
  <c r="F13" i="11"/>
  <c r="E13" i="11"/>
  <c r="I87" i="11" s="1"/>
  <c r="D13" i="11"/>
  <c r="C13" i="11"/>
  <c r="B13" i="11"/>
  <c r="M13" i="11" s="1"/>
  <c r="Q12" i="11"/>
  <c r="J12" i="11"/>
  <c r="K12" i="11" s="1"/>
  <c r="I12" i="11"/>
  <c r="H88" i="11" s="1"/>
  <c r="H12" i="11"/>
  <c r="G12" i="11"/>
  <c r="F12" i="11"/>
  <c r="E12" i="11"/>
  <c r="H87" i="11" s="1"/>
  <c r="D12" i="11"/>
  <c r="H86" i="11" s="1"/>
  <c r="C12" i="11"/>
  <c r="S12" i="11" s="1"/>
  <c r="B12" i="11"/>
  <c r="P12" i="11" s="1"/>
  <c r="H91" i="11" s="1"/>
  <c r="M11" i="11"/>
  <c r="L11" i="11"/>
  <c r="J11" i="11"/>
  <c r="I11" i="11"/>
  <c r="G88" i="11" s="1"/>
  <c r="H11" i="11"/>
  <c r="G11" i="11"/>
  <c r="F11" i="11"/>
  <c r="E11" i="11"/>
  <c r="G87" i="11" s="1"/>
  <c r="D11" i="11"/>
  <c r="G86" i="11" s="1"/>
  <c r="C11" i="11"/>
  <c r="S11" i="11" s="1"/>
  <c r="B11" i="11"/>
  <c r="R11" i="11" s="1"/>
  <c r="Q10" i="11"/>
  <c r="P10" i="11"/>
  <c r="F91" i="11" s="1"/>
  <c r="O10" i="11"/>
  <c r="F90" i="11" s="1"/>
  <c r="N10" i="11"/>
  <c r="M10" i="11"/>
  <c r="L10" i="11"/>
  <c r="J10" i="11"/>
  <c r="F89" i="11" s="1"/>
  <c r="G10" i="11"/>
  <c r="F10" i="11"/>
  <c r="C10" i="11"/>
  <c r="E10" i="11" s="1"/>
  <c r="B10" i="11"/>
  <c r="R10" i="11" s="1"/>
  <c r="R9" i="11"/>
  <c r="P9" i="11"/>
  <c r="E91" i="11" s="1"/>
  <c r="C9" i="11"/>
  <c r="B9" i="11"/>
  <c r="S8" i="11"/>
  <c r="E8" i="11"/>
  <c r="C8" i="11"/>
  <c r="B8" i="11"/>
  <c r="L8" i="11" s="1"/>
  <c r="I7" i="11"/>
  <c r="C88" i="11" s="1"/>
  <c r="G7" i="11"/>
  <c r="F7" i="11"/>
  <c r="H7" i="11" s="1"/>
  <c r="E7" i="11"/>
  <c r="C87" i="11" s="1"/>
  <c r="D7" i="11"/>
  <c r="C86" i="11" s="1"/>
  <c r="C7" i="11"/>
  <c r="S7" i="11" s="1"/>
  <c r="B7" i="11"/>
  <c r="N7" i="11" s="1"/>
  <c r="L6" i="11"/>
  <c r="J6" i="11"/>
  <c r="B89" i="11" s="1"/>
  <c r="G6" i="11"/>
  <c r="F6" i="11"/>
  <c r="C6" i="11"/>
  <c r="E6" i="11" s="1"/>
  <c r="B6" i="11"/>
  <c r="R6" i="11" s="1"/>
  <c r="J34" i="9"/>
  <c r="I34" i="9"/>
  <c r="J33" i="9"/>
  <c r="I33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J24" i="9"/>
  <c r="I24" i="9"/>
  <c r="J23" i="9"/>
  <c r="I23" i="9"/>
  <c r="J22" i="9"/>
  <c r="I22" i="9"/>
  <c r="J21" i="9"/>
  <c r="I21" i="9"/>
  <c r="J20" i="9"/>
  <c r="I20" i="9"/>
  <c r="J19" i="9"/>
  <c r="I19" i="9"/>
  <c r="H19" i="9"/>
  <c r="J18" i="9"/>
  <c r="I18" i="9"/>
  <c r="H18" i="9"/>
  <c r="J17" i="9"/>
  <c r="I17" i="9"/>
  <c r="H17" i="9"/>
  <c r="J16" i="9"/>
  <c r="I16" i="9"/>
  <c r="H16" i="9"/>
  <c r="J15" i="9"/>
  <c r="I15" i="9"/>
  <c r="H15" i="9"/>
  <c r="J14" i="9"/>
  <c r="I14" i="9"/>
  <c r="H14" i="9"/>
  <c r="J13" i="9"/>
  <c r="I13" i="9"/>
  <c r="H13" i="9"/>
  <c r="J12" i="9"/>
  <c r="I12" i="9"/>
  <c r="H12" i="9"/>
  <c r="J11" i="9"/>
  <c r="I11" i="9"/>
  <c r="H11" i="9"/>
  <c r="J10" i="9"/>
  <c r="I10" i="9"/>
  <c r="H10" i="9"/>
  <c r="J9" i="9"/>
  <c r="I9" i="9"/>
  <c r="H9" i="9"/>
  <c r="J8" i="9"/>
  <c r="I8" i="9"/>
  <c r="H8" i="9"/>
  <c r="J7" i="9"/>
  <c r="I7" i="9"/>
  <c r="H7" i="9"/>
  <c r="J6" i="9"/>
  <c r="I6" i="9"/>
  <c r="H6" i="9"/>
  <c r="J5" i="9"/>
  <c r="I5" i="9"/>
  <c r="H5" i="9"/>
  <c r="F57" i="8"/>
  <c r="F56" i="8"/>
  <c r="C56" i="8"/>
  <c r="J55" i="8"/>
  <c r="G55" i="8"/>
  <c r="D55" i="8"/>
  <c r="J53" i="8"/>
  <c r="I53" i="8"/>
  <c r="H53" i="8"/>
  <c r="F53" i="8"/>
  <c r="I49" i="8"/>
  <c r="D47" i="8"/>
  <c r="K56" i="8" s="1"/>
  <c r="C47" i="8"/>
  <c r="E47" i="8" s="1"/>
  <c r="F43" i="8"/>
  <c r="D43" i="8"/>
  <c r="B43" i="8"/>
  <c r="F42" i="8"/>
  <c r="D42" i="8"/>
  <c r="C42" i="8"/>
  <c r="B42" i="8"/>
  <c r="E42" i="8" s="1"/>
  <c r="F41" i="8"/>
  <c r="D41" i="8"/>
  <c r="B41" i="8"/>
  <c r="C41" i="8" s="1"/>
  <c r="F40" i="8"/>
  <c r="E40" i="8"/>
  <c r="D40" i="8"/>
  <c r="C40" i="8"/>
  <c r="B40" i="8"/>
  <c r="F39" i="8"/>
  <c r="D39" i="8"/>
  <c r="C39" i="8"/>
  <c r="B39" i="8"/>
  <c r="E39" i="8" s="1"/>
  <c r="F38" i="8"/>
  <c r="E38" i="8"/>
  <c r="D38" i="8"/>
  <c r="C38" i="8"/>
  <c r="B38" i="8"/>
  <c r="F37" i="8"/>
  <c r="D37" i="8"/>
  <c r="B37" i="8"/>
  <c r="E37" i="8" s="1"/>
  <c r="F36" i="8"/>
  <c r="D36" i="8"/>
  <c r="B36" i="8"/>
  <c r="F35" i="8"/>
  <c r="D35" i="8"/>
  <c r="B35" i="8"/>
  <c r="L31" i="8"/>
  <c r="K31" i="8"/>
  <c r="J31" i="8"/>
  <c r="I31" i="8"/>
  <c r="H31" i="8"/>
  <c r="G31" i="8"/>
  <c r="F31" i="8"/>
  <c r="D31" i="8"/>
  <c r="E31" i="8" s="1"/>
  <c r="C31" i="8"/>
  <c r="L30" i="8"/>
  <c r="K30" i="8"/>
  <c r="J30" i="8"/>
  <c r="I30" i="8"/>
  <c r="H30" i="8"/>
  <c r="G30" i="8"/>
  <c r="F30" i="8"/>
  <c r="D30" i="8"/>
  <c r="E30" i="8" s="1"/>
  <c r="C30" i="8"/>
  <c r="L29" i="8"/>
  <c r="K29" i="8"/>
  <c r="J29" i="8"/>
  <c r="I29" i="8"/>
  <c r="H29" i="8"/>
  <c r="G29" i="8"/>
  <c r="F29" i="8"/>
  <c r="D29" i="8"/>
  <c r="C29" i="8"/>
  <c r="E29" i="8" s="1"/>
  <c r="L28" i="8"/>
  <c r="K28" i="8"/>
  <c r="J28" i="8"/>
  <c r="I28" i="8"/>
  <c r="H28" i="8"/>
  <c r="G28" i="8"/>
  <c r="F28" i="8"/>
  <c r="E28" i="8"/>
  <c r="D28" i="8"/>
  <c r="C28" i="8"/>
  <c r="L27" i="8"/>
  <c r="K27" i="8"/>
  <c r="J27" i="8"/>
  <c r="I27" i="8"/>
  <c r="H27" i="8"/>
  <c r="G27" i="8"/>
  <c r="F27" i="8"/>
  <c r="E27" i="8"/>
  <c r="D27" i="8"/>
  <c r="C27" i="8"/>
  <c r="D23" i="8"/>
  <c r="B23" i="8"/>
  <c r="C23" i="8" s="1"/>
  <c r="D22" i="8"/>
  <c r="B22" i="8"/>
  <c r="C22" i="8" s="1"/>
  <c r="D21" i="8"/>
  <c r="B21" i="8"/>
  <c r="C21" i="8" s="1"/>
  <c r="D20" i="8"/>
  <c r="B20" i="8"/>
  <c r="C20" i="8" s="1"/>
  <c r="D19" i="8"/>
  <c r="B19" i="8"/>
  <c r="C19" i="8" s="1"/>
  <c r="D18" i="8"/>
  <c r="B18" i="8"/>
  <c r="C18" i="8" s="1"/>
  <c r="D17" i="8"/>
  <c r="B17" i="8"/>
  <c r="C17" i="8" s="1"/>
  <c r="D16" i="8"/>
  <c r="C16" i="8"/>
  <c r="B16" i="8"/>
  <c r="D15" i="8"/>
  <c r="B15" i="8"/>
  <c r="C15" i="8" s="1"/>
  <c r="D14" i="8"/>
  <c r="C14" i="8"/>
  <c r="B14" i="8"/>
  <c r="D13" i="8"/>
  <c r="C13" i="8"/>
  <c r="B13" i="8"/>
  <c r="K9" i="8"/>
  <c r="I9" i="8"/>
  <c r="C9" i="8"/>
  <c r="G5" i="8"/>
  <c r="E5" i="8"/>
  <c r="C5" i="8"/>
  <c r="A5" i="8"/>
  <c r="A41" i="5"/>
  <c r="A21" i="3"/>
  <c r="A3" i="3"/>
  <c r="E13" i="2"/>
  <c r="B13" i="2"/>
  <c r="A71" i="3" s="1"/>
  <c r="B12" i="2"/>
  <c r="E12" i="2" s="1"/>
  <c r="B11" i="2"/>
  <c r="B10" i="2"/>
  <c r="A41" i="3" s="1"/>
  <c r="B9" i="2"/>
  <c r="A23" i="3" s="1"/>
  <c r="E8" i="2"/>
  <c r="B8" i="2"/>
  <c r="B7" i="2"/>
  <c r="J78" i="3" s="1"/>
  <c r="AX200" i="1"/>
  <c r="AY200" i="1" s="1"/>
  <c r="AR200" i="1"/>
  <c r="AP200" i="1"/>
  <c r="AQ200" i="1" s="1"/>
  <c r="AS200" i="1" s="1"/>
  <c r="AT200" i="1" s="1"/>
  <c r="AO200" i="1"/>
  <c r="AC200" i="1"/>
  <c r="Y200" i="1"/>
  <c r="X200" i="1"/>
  <c r="A200" i="1"/>
  <c r="AY199" i="1"/>
  <c r="AX199" i="1"/>
  <c r="AQ199" i="1"/>
  <c r="AP199" i="1"/>
  <c r="AO199" i="1"/>
  <c r="AC199" i="1"/>
  <c r="Y199" i="1"/>
  <c r="AR199" i="1" s="1"/>
  <c r="X199" i="1"/>
  <c r="A199" i="1"/>
  <c r="AX198" i="1"/>
  <c r="AY198" i="1" s="1"/>
  <c r="AQ198" i="1"/>
  <c r="AP198" i="1"/>
  <c r="AO198" i="1"/>
  <c r="AC198" i="1"/>
  <c r="X198" i="1"/>
  <c r="Y198" i="1" s="1"/>
  <c r="AR198" i="1" s="1"/>
  <c r="A198" i="1"/>
  <c r="AY197" i="1"/>
  <c r="AX197" i="1"/>
  <c r="AS197" i="1"/>
  <c r="AT197" i="1" s="1"/>
  <c r="AP197" i="1"/>
  <c r="AO197" i="1"/>
  <c r="AC197" i="1"/>
  <c r="AQ197" i="1" s="1"/>
  <c r="Y197" i="1"/>
  <c r="AR197" i="1" s="1"/>
  <c r="X197" i="1"/>
  <c r="A197" i="1"/>
  <c r="AX196" i="1"/>
  <c r="AY196" i="1" s="1"/>
  <c r="AR196" i="1"/>
  <c r="AP196" i="1"/>
  <c r="AQ196" i="1" s="1"/>
  <c r="AO196" i="1"/>
  <c r="AC196" i="1"/>
  <c r="Y196" i="1"/>
  <c r="X196" i="1"/>
  <c r="A196" i="1"/>
  <c r="AY195" i="1"/>
  <c r="AX195" i="1"/>
  <c r="AP195" i="1"/>
  <c r="AO195" i="1"/>
  <c r="AC195" i="1"/>
  <c r="AQ195" i="1" s="1"/>
  <c r="X195" i="1"/>
  <c r="Y195" i="1" s="1"/>
  <c r="AR195" i="1" s="1"/>
  <c r="A195" i="1"/>
  <c r="AX194" i="1"/>
  <c r="AY194" i="1" s="1"/>
  <c r="AQ194" i="1"/>
  <c r="AP194" i="1"/>
  <c r="AO194" i="1"/>
  <c r="AC194" i="1"/>
  <c r="X194" i="1"/>
  <c r="Y194" i="1" s="1"/>
  <c r="AR194" i="1" s="1"/>
  <c r="A194" i="1"/>
  <c r="AX193" i="1"/>
  <c r="AY193" i="1" s="1"/>
  <c r="AP193" i="1"/>
  <c r="AO193" i="1"/>
  <c r="AC193" i="1"/>
  <c r="AQ193" i="1" s="1"/>
  <c r="AS193" i="1" s="1"/>
  <c r="AT193" i="1" s="1"/>
  <c r="Y193" i="1"/>
  <c r="AR193" i="1" s="1"/>
  <c r="X193" i="1"/>
  <c r="A193" i="1"/>
  <c r="AX192" i="1"/>
  <c r="AY192" i="1" s="1"/>
  <c r="AR192" i="1"/>
  <c r="AP192" i="1"/>
  <c r="AQ192" i="1" s="1"/>
  <c r="AS192" i="1" s="1"/>
  <c r="AT192" i="1" s="1"/>
  <c r="AO192" i="1"/>
  <c r="AC192" i="1"/>
  <c r="Y192" i="1"/>
  <c r="X192" i="1"/>
  <c r="A192" i="1"/>
  <c r="AY191" i="1"/>
  <c r="AX191" i="1"/>
  <c r="AQ191" i="1"/>
  <c r="AS191" i="1" s="1"/>
  <c r="AT191" i="1" s="1"/>
  <c r="AP191" i="1"/>
  <c r="AO191" i="1"/>
  <c r="AC191" i="1"/>
  <c r="Y191" i="1"/>
  <c r="AR191" i="1" s="1"/>
  <c r="X191" i="1"/>
  <c r="A191" i="1"/>
  <c r="AX190" i="1"/>
  <c r="AY190" i="1" s="1"/>
  <c r="AQ190" i="1"/>
  <c r="AP190" i="1"/>
  <c r="AO190" i="1"/>
  <c r="AC190" i="1"/>
  <c r="X190" i="1"/>
  <c r="Y190" i="1" s="1"/>
  <c r="AR190" i="1" s="1"/>
  <c r="A190" i="1"/>
  <c r="AY189" i="1"/>
  <c r="AX189" i="1"/>
  <c r="AP189" i="1"/>
  <c r="AO189" i="1"/>
  <c r="AC189" i="1"/>
  <c r="AQ189" i="1" s="1"/>
  <c r="Y189" i="1"/>
  <c r="AR189" i="1" s="1"/>
  <c r="AS189" i="1" s="1"/>
  <c r="AT189" i="1" s="1"/>
  <c r="X189" i="1"/>
  <c r="A189" i="1"/>
  <c r="AX188" i="1"/>
  <c r="AY188" i="1" s="1"/>
  <c r="AR188" i="1"/>
  <c r="AP188" i="1"/>
  <c r="AQ188" i="1" s="1"/>
  <c r="AS188" i="1" s="1"/>
  <c r="AT188" i="1" s="1"/>
  <c r="AO188" i="1"/>
  <c r="AC188" i="1"/>
  <c r="Y188" i="1"/>
  <c r="X188" i="1"/>
  <c r="A188" i="1"/>
  <c r="AY187" i="1"/>
  <c r="AX187" i="1"/>
  <c r="AP187" i="1"/>
  <c r="AQ187" i="1" s="1"/>
  <c r="AO187" i="1"/>
  <c r="AC187" i="1"/>
  <c r="X187" i="1"/>
  <c r="Y187" i="1" s="1"/>
  <c r="AR187" i="1" s="1"/>
  <c r="A187" i="1"/>
  <c r="AX186" i="1"/>
  <c r="AY186" i="1" s="1"/>
  <c r="AQ186" i="1"/>
  <c r="AP186" i="1"/>
  <c r="AO186" i="1"/>
  <c r="AC186" i="1"/>
  <c r="X186" i="1"/>
  <c r="Y186" i="1" s="1"/>
  <c r="AR186" i="1" s="1"/>
  <c r="A186" i="1"/>
  <c r="AX185" i="1"/>
  <c r="AY185" i="1" s="1"/>
  <c r="AP185" i="1"/>
  <c r="AO185" i="1"/>
  <c r="AC185" i="1"/>
  <c r="AQ185" i="1" s="1"/>
  <c r="AS185" i="1" s="1"/>
  <c r="AT185" i="1" s="1"/>
  <c r="Y185" i="1"/>
  <c r="AR185" i="1" s="1"/>
  <c r="X185" i="1"/>
  <c r="A185" i="1"/>
  <c r="AX184" i="1"/>
  <c r="AY184" i="1" s="1"/>
  <c r="AS184" i="1"/>
  <c r="AT184" i="1" s="1"/>
  <c r="AR184" i="1"/>
  <c r="AQ184" i="1"/>
  <c r="AP184" i="1"/>
  <c r="AO184" i="1"/>
  <c r="AC184" i="1"/>
  <c r="Y184" i="1"/>
  <c r="X184" i="1"/>
  <c r="A184" i="1"/>
  <c r="AX183" i="1"/>
  <c r="AY183" i="1" s="1"/>
  <c r="AP183" i="1"/>
  <c r="AQ183" i="1" s="1"/>
  <c r="AO183" i="1"/>
  <c r="AC183" i="1"/>
  <c r="Y183" i="1"/>
  <c r="AR183" i="1" s="1"/>
  <c r="X183" i="1"/>
  <c r="A183" i="1"/>
  <c r="AX182" i="1"/>
  <c r="AY182" i="1" s="1"/>
  <c r="AQ182" i="1"/>
  <c r="AP182" i="1"/>
  <c r="AO182" i="1"/>
  <c r="AC182" i="1"/>
  <c r="X182" i="1"/>
  <c r="Y182" i="1" s="1"/>
  <c r="AR182" i="1" s="1"/>
  <c r="A182" i="1"/>
  <c r="AX181" i="1"/>
  <c r="AY181" i="1" s="1"/>
  <c r="AP181" i="1"/>
  <c r="AO181" i="1"/>
  <c r="AC181" i="1"/>
  <c r="AQ181" i="1" s="1"/>
  <c r="AS181" i="1" s="1"/>
  <c r="AT181" i="1" s="1"/>
  <c r="Y181" i="1"/>
  <c r="AR181" i="1" s="1"/>
  <c r="X181" i="1"/>
  <c r="A181" i="1"/>
  <c r="AX180" i="1"/>
  <c r="AY180" i="1" s="1"/>
  <c r="AR180" i="1"/>
  <c r="AQ180" i="1"/>
  <c r="AS180" i="1" s="1"/>
  <c r="AT180" i="1" s="1"/>
  <c r="AP180" i="1"/>
  <c r="AO180" i="1"/>
  <c r="AC180" i="1"/>
  <c r="Y180" i="1"/>
  <c r="X180" i="1"/>
  <c r="A180" i="1"/>
  <c r="AX179" i="1"/>
  <c r="AY179" i="1" s="1"/>
  <c r="AP179" i="1"/>
  <c r="AQ179" i="1" s="1"/>
  <c r="AS179" i="1" s="1"/>
  <c r="AT179" i="1" s="1"/>
  <c r="AO179" i="1"/>
  <c r="AC179" i="1"/>
  <c r="X179" i="1"/>
  <c r="Y179" i="1" s="1"/>
  <c r="AR179" i="1" s="1"/>
  <c r="A179" i="1"/>
  <c r="AX178" i="1"/>
  <c r="AY178" i="1" s="1"/>
  <c r="AQ178" i="1"/>
  <c r="AP178" i="1"/>
  <c r="AO178" i="1"/>
  <c r="AC178" i="1"/>
  <c r="X178" i="1"/>
  <c r="Y178" i="1" s="1"/>
  <c r="AR178" i="1" s="1"/>
  <c r="A178" i="1"/>
  <c r="AX177" i="1"/>
  <c r="AY177" i="1" s="1"/>
  <c r="AT177" i="1"/>
  <c r="AP177" i="1"/>
  <c r="AO177" i="1"/>
  <c r="AC177" i="1"/>
  <c r="AQ177" i="1" s="1"/>
  <c r="AS177" i="1" s="1"/>
  <c r="Y177" i="1"/>
  <c r="AR177" i="1" s="1"/>
  <c r="X177" i="1"/>
  <c r="A177" i="1"/>
  <c r="AX176" i="1"/>
  <c r="AY176" i="1" s="1"/>
  <c r="AS176" i="1"/>
  <c r="AT176" i="1" s="1"/>
  <c r="AR176" i="1"/>
  <c r="AQ176" i="1"/>
  <c r="AP176" i="1"/>
  <c r="AO176" i="1"/>
  <c r="AC176" i="1"/>
  <c r="Y176" i="1"/>
  <c r="X176" i="1"/>
  <c r="A176" i="1"/>
  <c r="AX175" i="1"/>
  <c r="AY175" i="1" s="1"/>
  <c r="AP175" i="1"/>
  <c r="AO175" i="1"/>
  <c r="AC175" i="1"/>
  <c r="AQ175" i="1" s="1"/>
  <c r="AS175" i="1" s="1"/>
  <c r="AT175" i="1" s="1"/>
  <c r="X175" i="1"/>
  <c r="Y175" i="1" s="1"/>
  <c r="AR175" i="1" s="1"/>
  <c r="A175" i="1"/>
  <c r="AX174" i="1"/>
  <c r="AY174" i="1" s="1"/>
  <c r="AP174" i="1"/>
  <c r="AQ174" i="1" s="1"/>
  <c r="AO174" i="1"/>
  <c r="AC174" i="1"/>
  <c r="X174" i="1"/>
  <c r="Y174" i="1" s="1"/>
  <c r="AR174" i="1" s="1"/>
  <c r="A174" i="1"/>
  <c r="AY173" i="1"/>
  <c r="AX173" i="1"/>
  <c r="AQ173" i="1"/>
  <c r="AP173" i="1"/>
  <c r="AO173" i="1"/>
  <c r="AC173" i="1"/>
  <c r="Y173" i="1"/>
  <c r="AR173" i="1" s="1"/>
  <c r="X173" i="1"/>
  <c r="A173" i="1"/>
  <c r="AX172" i="1"/>
  <c r="AY172" i="1" s="1"/>
  <c r="AR172" i="1"/>
  <c r="AP172" i="1"/>
  <c r="AQ172" i="1" s="1"/>
  <c r="AS172" i="1" s="1"/>
  <c r="AT172" i="1" s="1"/>
  <c r="AO172" i="1"/>
  <c r="AC172" i="1"/>
  <c r="Y172" i="1"/>
  <c r="X172" i="1"/>
  <c r="A172" i="1"/>
  <c r="AX171" i="1"/>
  <c r="AY171" i="1" s="1"/>
  <c r="AP171" i="1"/>
  <c r="AO171" i="1"/>
  <c r="AC171" i="1"/>
  <c r="AQ171" i="1" s="1"/>
  <c r="X171" i="1"/>
  <c r="Y171" i="1" s="1"/>
  <c r="AR171" i="1" s="1"/>
  <c r="A171" i="1"/>
  <c r="AX170" i="1"/>
  <c r="AY170" i="1" s="1"/>
  <c r="AQ170" i="1"/>
  <c r="AP170" i="1"/>
  <c r="AO170" i="1"/>
  <c r="AC170" i="1"/>
  <c r="Y170" i="1"/>
  <c r="AR170" i="1" s="1"/>
  <c r="AS170" i="1" s="1"/>
  <c r="AT170" i="1" s="1"/>
  <c r="X170" i="1"/>
  <c r="A170" i="1"/>
  <c r="AX169" i="1"/>
  <c r="AY169" i="1" s="1"/>
  <c r="AP169" i="1"/>
  <c r="AO169" i="1"/>
  <c r="AC169" i="1"/>
  <c r="AQ169" i="1" s="1"/>
  <c r="AS169" i="1" s="1"/>
  <c r="AT169" i="1" s="1"/>
  <c r="X169" i="1"/>
  <c r="Y169" i="1" s="1"/>
  <c r="AR169" i="1" s="1"/>
  <c r="A169" i="1"/>
  <c r="AX168" i="1"/>
  <c r="AY168" i="1" s="1"/>
  <c r="AP168" i="1"/>
  <c r="AQ168" i="1" s="1"/>
  <c r="AO168" i="1"/>
  <c r="AC168" i="1"/>
  <c r="Y168" i="1"/>
  <c r="AR168" i="1" s="1"/>
  <c r="AS168" i="1" s="1"/>
  <c r="AT168" i="1" s="1"/>
  <c r="X168" i="1"/>
  <c r="A168" i="1"/>
  <c r="AX167" i="1"/>
  <c r="AY167" i="1" s="1"/>
  <c r="AP167" i="1"/>
  <c r="AO167" i="1"/>
  <c r="AC167" i="1"/>
  <c r="AQ167" i="1" s="1"/>
  <c r="AS167" i="1" s="1"/>
  <c r="AT167" i="1" s="1"/>
  <c r="X167" i="1"/>
  <c r="Y167" i="1" s="1"/>
  <c r="AR167" i="1" s="1"/>
  <c r="A167" i="1"/>
  <c r="AX166" i="1"/>
  <c r="AY166" i="1" s="1"/>
  <c r="AQ166" i="1"/>
  <c r="AP166" i="1"/>
  <c r="AO166" i="1"/>
  <c r="AC166" i="1"/>
  <c r="X166" i="1"/>
  <c r="Y166" i="1" s="1"/>
  <c r="AR166" i="1" s="1"/>
  <c r="A166" i="1"/>
  <c r="AX165" i="1"/>
  <c r="AY165" i="1" s="1"/>
  <c r="AT165" i="1"/>
  <c r="AP165" i="1"/>
  <c r="AO165" i="1"/>
  <c r="AC165" i="1"/>
  <c r="AQ165" i="1" s="1"/>
  <c r="AS165" i="1" s="1"/>
  <c r="X165" i="1"/>
  <c r="Y165" i="1" s="1"/>
  <c r="AR165" i="1" s="1"/>
  <c r="A165" i="1"/>
  <c r="AX164" i="1"/>
  <c r="AY164" i="1" s="1"/>
  <c r="AR164" i="1"/>
  <c r="AQ164" i="1"/>
  <c r="AS164" i="1" s="1"/>
  <c r="AT164" i="1" s="1"/>
  <c r="AP164" i="1"/>
  <c r="AO164" i="1"/>
  <c r="AC164" i="1"/>
  <c r="Y164" i="1"/>
  <c r="X164" i="1"/>
  <c r="A164" i="1"/>
  <c r="AY163" i="1"/>
  <c r="AX163" i="1"/>
  <c r="AQ163" i="1"/>
  <c r="AS163" i="1" s="1"/>
  <c r="AT163" i="1" s="1"/>
  <c r="AP163" i="1"/>
  <c r="AO163" i="1"/>
  <c r="AC163" i="1"/>
  <c r="Y163" i="1"/>
  <c r="AR163" i="1" s="1"/>
  <c r="X163" i="1"/>
  <c r="A163" i="1"/>
  <c r="AX162" i="1"/>
  <c r="AY162" i="1" s="1"/>
  <c r="AP162" i="1"/>
  <c r="AQ162" i="1" s="1"/>
  <c r="AO162" i="1"/>
  <c r="AC162" i="1"/>
  <c r="X162" i="1"/>
  <c r="Y162" i="1" s="1"/>
  <c r="AR162" i="1" s="1"/>
  <c r="AS162" i="1" s="1"/>
  <c r="AT162" i="1" s="1"/>
  <c r="A162" i="1"/>
  <c r="AX161" i="1"/>
  <c r="AY161" i="1" s="1"/>
  <c r="AP161" i="1"/>
  <c r="AO161" i="1"/>
  <c r="AC161" i="1"/>
  <c r="AQ161" i="1" s="1"/>
  <c r="X161" i="1"/>
  <c r="Y161" i="1" s="1"/>
  <c r="AR161" i="1" s="1"/>
  <c r="A161" i="1"/>
  <c r="AX160" i="1"/>
  <c r="AY160" i="1" s="1"/>
  <c r="AR160" i="1"/>
  <c r="AQ160" i="1"/>
  <c r="AS160" i="1" s="1"/>
  <c r="AT160" i="1" s="1"/>
  <c r="AP160" i="1"/>
  <c r="AO160" i="1"/>
  <c r="AC160" i="1"/>
  <c r="Y160" i="1"/>
  <c r="X160" i="1"/>
  <c r="A160" i="1"/>
  <c r="AX159" i="1"/>
  <c r="AY159" i="1" s="1"/>
  <c r="AP159" i="1"/>
  <c r="AO159" i="1"/>
  <c r="AC159" i="1"/>
  <c r="AQ159" i="1" s="1"/>
  <c r="X159" i="1"/>
  <c r="Y159" i="1" s="1"/>
  <c r="AR159" i="1" s="1"/>
  <c r="A159" i="1"/>
  <c r="AX158" i="1"/>
  <c r="AY158" i="1" s="1"/>
  <c r="AQ158" i="1"/>
  <c r="AP158" i="1"/>
  <c r="AO158" i="1"/>
  <c r="AC158" i="1"/>
  <c r="X158" i="1"/>
  <c r="Y158" i="1" s="1"/>
  <c r="AR158" i="1" s="1"/>
  <c r="A158" i="1"/>
  <c r="AY157" i="1"/>
  <c r="AX157" i="1"/>
  <c r="AS157" i="1"/>
  <c r="AT157" i="1" s="1"/>
  <c r="AQ157" i="1"/>
  <c r="AP157" i="1"/>
  <c r="AO157" i="1"/>
  <c r="AC157" i="1"/>
  <c r="Y157" i="1"/>
  <c r="AR157" i="1" s="1"/>
  <c r="X157" i="1"/>
  <c r="A157" i="1"/>
  <c r="AX156" i="1"/>
  <c r="AY156" i="1" s="1"/>
  <c r="AP156" i="1"/>
  <c r="AQ156" i="1" s="1"/>
  <c r="AO156" i="1"/>
  <c r="AC156" i="1"/>
  <c r="Y156" i="1"/>
  <c r="AR156" i="1" s="1"/>
  <c r="X156" i="1"/>
  <c r="A156" i="1"/>
  <c r="AY155" i="1"/>
  <c r="AX155" i="1"/>
  <c r="AP155" i="1"/>
  <c r="AQ155" i="1" s="1"/>
  <c r="AO155" i="1"/>
  <c r="AC155" i="1"/>
  <c r="X155" i="1"/>
  <c r="Y155" i="1" s="1"/>
  <c r="AR155" i="1" s="1"/>
  <c r="A155" i="1"/>
  <c r="AX154" i="1"/>
  <c r="AY154" i="1" s="1"/>
  <c r="AR154" i="1"/>
  <c r="AQ154" i="1"/>
  <c r="AS154" i="1" s="1"/>
  <c r="AT154" i="1" s="1"/>
  <c r="AP154" i="1"/>
  <c r="AO154" i="1"/>
  <c r="AC154" i="1"/>
  <c r="Y154" i="1"/>
  <c r="X154" i="1"/>
  <c r="A154" i="1"/>
  <c r="AX153" i="1"/>
  <c r="AY153" i="1" s="1"/>
  <c r="AP153" i="1"/>
  <c r="AO153" i="1"/>
  <c r="AC153" i="1"/>
  <c r="AQ153" i="1" s="1"/>
  <c r="X153" i="1"/>
  <c r="Y153" i="1" s="1"/>
  <c r="AR153" i="1" s="1"/>
  <c r="A153" i="1"/>
  <c r="AX152" i="1"/>
  <c r="AY152" i="1" s="1"/>
  <c r="AR152" i="1"/>
  <c r="AP152" i="1"/>
  <c r="AQ152" i="1" s="1"/>
  <c r="AS152" i="1" s="1"/>
  <c r="AT152" i="1" s="1"/>
  <c r="AO152" i="1"/>
  <c r="AC152" i="1"/>
  <c r="Y152" i="1"/>
  <c r="X152" i="1"/>
  <c r="A152" i="1"/>
  <c r="AX151" i="1"/>
  <c r="AY151" i="1" s="1"/>
  <c r="AP151" i="1"/>
  <c r="AO151" i="1"/>
  <c r="AC151" i="1"/>
  <c r="Y151" i="1"/>
  <c r="AR151" i="1" s="1"/>
  <c r="X151" i="1"/>
  <c r="A151" i="1"/>
  <c r="AX150" i="1"/>
  <c r="AY150" i="1" s="1"/>
  <c r="AP150" i="1"/>
  <c r="AO150" i="1"/>
  <c r="AC150" i="1"/>
  <c r="AQ150" i="1" s="1"/>
  <c r="X150" i="1"/>
  <c r="Y150" i="1" s="1"/>
  <c r="AR150" i="1" s="1"/>
  <c r="A150" i="1"/>
  <c r="AY149" i="1"/>
  <c r="AX149" i="1"/>
  <c r="AP149" i="1"/>
  <c r="AQ149" i="1" s="1"/>
  <c r="AS149" i="1" s="1"/>
  <c r="AT149" i="1" s="1"/>
  <c r="AO149" i="1"/>
  <c r="AC149" i="1"/>
  <c r="X149" i="1"/>
  <c r="Y149" i="1" s="1"/>
  <c r="AR149" i="1" s="1"/>
  <c r="A149" i="1"/>
  <c r="AX148" i="1"/>
  <c r="AY148" i="1" s="1"/>
  <c r="AQ148" i="1"/>
  <c r="AS148" i="1" s="1"/>
  <c r="AT148" i="1" s="1"/>
  <c r="AP148" i="1"/>
  <c r="AO148" i="1"/>
  <c r="AC148" i="1"/>
  <c r="X148" i="1"/>
  <c r="Y148" i="1" s="1"/>
  <c r="AR148" i="1" s="1"/>
  <c r="A148" i="1"/>
  <c r="AX147" i="1"/>
  <c r="AY147" i="1" s="1"/>
  <c r="AS147" i="1"/>
  <c r="AT147" i="1" s="1"/>
  <c r="AP147" i="1"/>
  <c r="AQ147" i="1" s="1"/>
  <c r="AO147" i="1"/>
  <c r="AC147" i="1"/>
  <c r="Y147" i="1"/>
  <c r="AR147" i="1" s="1"/>
  <c r="X147" i="1"/>
  <c r="A147" i="1"/>
  <c r="AX146" i="1"/>
  <c r="AY146" i="1" s="1"/>
  <c r="AP146" i="1"/>
  <c r="AO146" i="1"/>
  <c r="AC146" i="1"/>
  <c r="AQ146" i="1" s="1"/>
  <c r="X146" i="1"/>
  <c r="Y146" i="1" s="1"/>
  <c r="AR146" i="1" s="1"/>
  <c r="A146" i="1"/>
  <c r="AY145" i="1"/>
  <c r="AX145" i="1"/>
  <c r="AT145" i="1"/>
  <c r="AQ145" i="1"/>
  <c r="AS145" i="1" s="1"/>
  <c r="AP145" i="1"/>
  <c r="AO145" i="1"/>
  <c r="AC145" i="1"/>
  <c r="Y145" i="1"/>
  <c r="AR145" i="1" s="1"/>
  <c r="X145" i="1"/>
  <c r="A145" i="1"/>
  <c r="AX144" i="1"/>
  <c r="AY144" i="1" s="1"/>
  <c r="AR144" i="1"/>
  <c r="AQ144" i="1"/>
  <c r="AP144" i="1"/>
  <c r="AO144" i="1"/>
  <c r="AC144" i="1"/>
  <c r="Y144" i="1"/>
  <c r="X144" i="1"/>
  <c r="A144" i="1"/>
  <c r="AX143" i="1"/>
  <c r="AY143" i="1" s="1"/>
  <c r="AP143" i="1"/>
  <c r="AO143" i="1"/>
  <c r="AC143" i="1"/>
  <c r="AQ143" i="1" s="1"/>
  <c r="AS143" i="1" s="1"/>
  <c r="AT143" i="1" s="1"/>
  <c r="Y143" i="1"/>
  <c r="AR143" i="1" s="1"/>
  <c r="X143" i="1"/>
  <c r="A143" i="1"/>
  <c r="AX142" i="1"/>
  <c r="AY142" i="1" s="1"/>
  <c r="AQ142" i="1"/>
  <c r="AP142" i="1"/>
  <c r="AO142" i="1"/>
  <c r="AC142" i="1"/>
  <c r="Y142" i="1"/>
  <c r="AR142" i="1" s="1"/>
  <c r="X142" i="1"/>
  <c r="A142" i="1"/>
  <c r="AY141" i="1"/>
  <c r="AX141" i="1"/>
  <c r="AS141" i="1"/>
  <c r="AT141" i="1" s="1"/>
  <c r="AQ141" i="1"/>
  <c r="AP141" i="1"/>
  <c r="AO141" i="1"/>
  <c r="AC141" i="1"/>
  <c r="Y141" i="1"/>
  <c r="AR141" i="1" s="1"/>
  <c r="X141" i="1"/>
  <c r="A141" i="1"/>
  <c r="AX140" i="1"/>
  <c r="AY140" i="1" s="1"/>
  <c r="AR140" i="1"/>
  <c r="AQ140" i="1"/>
  <c r="AS140" i="1" s="1"/>
  <c r="AT140" i="1" s="1"/>
  <c r="AP140" i="1"/>
  <c r="AO140" i="1"/>
  <c r="AC140" i="1"/>
  <c r="Y140" i="1"/>
  <c r="X140" i="1"/>
  <c r="A140" i="1"/>
  <c r="AX139" i="1"/>
  <c r="AY139" i="1" s="1"/>
  <c r="AP139" i="1"/>
  <c r="AO139" i="1"/>
  <c r="AC139" i="1"/>
  <c r="AQ139" i="1" s="1"/>
  <c r="AS139" i="1" s="1"/>
  <c r="AT139" i="1" s="1"/>
  <c r="Y139" i="1"/>
  <c r="AR139" i="1" s="1"/>
  <c r="X139" i="1"/>
  <c r="A139" i="1"/>
  <c r="AX138" i="1"/>
  <c r="AY138" i="1" s="1"/>
  <c r="AQ138" i="1"/>
  <c r="AS138" i="1" s="1"/>
  <c r="AT138" i="1" s="1"/>
  <c r="AP138" i="1"/>
  <c r="AO138" i="1"/>
  <c r="AC138" i="1"/>
  <c r="Y138" i="1"/>
  <c r="AR138" i="1" s="1"/>
  <c r="X138" i="1"/>
  <c r="A138" i="1"/>
  <c r="AX137" i="1"/>
  <c r="AY137" i="1" s="1"/>
  <c r="AQ137" i="1"/>
  <c r="AP137" i="1"/>
  <c r="AO137" i="1"/>
  <c r="AC137" i="1"/>
  <c r="Y137" i="1"/>
  <c r="AR137" i="1" s="1"/>
  <c r="AS137" i="1" s="1"/>
  <c r="AT137" i="1" s="1"/>
  <c r="X137" i="1"/>
  <c r="A137" i="1"/>
  <c r="AX136" i="1"/>
  <c r="AY136" i="1" s="1"/>
  <c r="AR136" i="1"/>
  <c r="AQ136" i="1"/>
  <c r="AS136" i="1" s="1"/>
  <c r="AT136" i="1" s="1"/>
  <c r="AP136" i="1"/>
  <c r="AO136" i="1"/>
  <c r="AC136" i="1"/>
  <c r="Y136" i="1"/>
  <c r="X136" i="1"/>
  <c r="A136" i="1"/>
  <c r="AX135" i="1"/>
  <c r="AY135" i="1" s="1"/>
  <c r="AP135" i="1"/>
  <c r="AO135" i="1"/>
  <c r="AC135" i="1"/>
  <c r="AQ135" i="1" s="1"/>
  <c r="AS135" i="1" s="1"/>
  <c r="AT135" i="1" s="1"/>
  <c r="Y135" i="1"/>
  <c r="AR135" i="1" s="1"/>
  <c r="X135" i="1"/>
  <c r="A135" i="1"/>
  <c r="AX134" i="1"/>
  <c r="AY134" i="1" s="1"/>
  <c r="AQ134" i="1"/>
  <c r="AS134" i="1" s="1"/>
  <c r="AT134" i="1" s="1"/>
  <c r="AP134" i="1"/>
  <c r="AO134" i="1"/>
  <c r="AC134" i="1"/>
  <c r="Y134" i="1"/>
  <c r="AR134" i="1" s="1"/>
  <c r="X134" i="1"/>
  <c r="A134" i="1"/>
  <c r="AX133" i="1"/>
  <c r="AY133" i="1" s="1"/>
  <c r="AQ133" i="1"/>
  <c r="AP133" i="1"/>
  <c r="AO133" i="1"/>
  <c r="AC133" i="1"/>
  <c r="Y133" i="1"/>
  <c r="AR133" i="1" s="1"/>
  <c r="AS133" i="1" s="1"/>
  <c r="AT133" i="1" s="1"/>
  <c r="X133" i="1"/>
  <c r="A133" i="1"/>
  <c r="AX132" i="1"/>
  <c r="AY132" i="1" s="1"/>
  <c r="AR132" i="1"/>
  <c r="AQ132" i="1"/>
  <c r="AS132" i="1" s="1"/>
  <c r="AT132" i="1" s="1"/>
  <c r="AP132" i="1"/>
  <c r="AO132" i="1"/>
  <c r="AC132" i="1"/>
  <c r="Y132" i="1"/>
  <c r="X132" i="1"/>
  <c r="A132" i="1"/>
  <c r="AX131" i="1"/>
  <c r="AY131" i="1" s="1"/>
  <c r="AP131" i="1"/>
  <c r="AO131" i="1"/>
  <c r="AC131" i="1"/>
  <c r="AQ131" i="1" s="1"/>
  <c r="AS131" i="1" s="1"/>
  <c r="AT131" i="1" s="1"/>
  <c r="Y131" i="1"/>
  <c r="AR131" i="1" s="1"/>
  <c r="X131" i="1"/>
  <c r="A131" i="1"/>
  <c r="AX130" i="1"/>
  <c r="AY130" i="1" s="1"/>
  <c r="AQ130" i="1"/>
  <c r="AS130" i="1" s="1"/>
  <c r="AT130" i="1" s="1"/>
  <c r="AP130" i="1"/>
  <c r="AO130" i="1"/>
  <c r="AC130" i="1"/>
  <c r="Y130" i="1"/>
  <c r="AR130" i="1" s="1"/>
  <c r="X130" i="1"/>
  <c r="A130" i="1"/>
  <c r="AX129" i="1"/>
  <c r="AY129" i="1" s="1"/>
  <c r="AS129" i="1"/>
  <c r="AT129" i="1" s="1"/>
  <c r="AQ129" i="1"/>
  <c r="AP129" i="1"/>
  <c r="AO129" i="1"/>
  <c r="AC129" i="1"/>
  <c r="Y129" i="1"/>
  <c r="AR129" i="1" s="1"/>
  <c r="X129" i="1"/>
  <c r="A129" i="1"/>
  <c r="AX128" i="1"/>
  <c r="AY128" i="1" s="1"/>
  <c r="AR128" i="1"/>
  <c r="AQ128" i="1"/>
  <c r="AP128" i="1"/>
  <c r="AO128" i="1"/>
  <c r="AC128" i="1"/>
  <c r="Y128" i="1"/>
  <c r="X128" i="1"/>
  <c r="A128" i="1"/>
  <c r="AX127" i="1"/>
  <c r="AY127" i="1" s="1"/>
  <c r="AQ127" i="1"/>
  <c r="AS127" i="1" s="1"/>
  <c r="AT127" i="1" s="1"/>
  <c r="AP127" i="1"/>
  <c r="AO127" i="1"/>
  <c r="AC127" i="1"/>
  <c r="Y127" i="1"/>
  <c r="AR127" i="1" s="1"/>
  <c r="X127" i="1"/>
  <c r="A127" i="1"/>
  <c r="AX126" i="1"/>
  <c r="AY126" i="1" s="1"/>
  <c r="AQ126" i="1"/>
  <c r="AP126" i="1"/>
  <c r="AO126" i="1"/>
  <c r="AC126" i="1"/>
  <c r="Y126" i="1"/>
  <c r="AR126" i="1" s="1"/>
  <c r="X126" i="1"/>
  <c r="A126" i="1"/>
  <c r="AX125" i="1"/>
  <c r="AY125" i="1" s="1"/>
  <c r="AQ125" i="1"/>
  <c r="AS125" i="1" s="1"/>
  <c r="AT125" i="1" s="1"/>
  <c r="AP125" i="1"/>
  <c r="AO125" i="1"/>
  <c r="AC125" i="1"/>
  <c r="Y125" i="1"/>
  <c r="AR125" i="1" s="1"/>
  <c r="X125" i="1"/>
  <c r="A125" i="1"/>
  <c r="AX124" i="1"/>
  <c r="AY124" i="1" s="1"/>
  <c r="AQ124" i="1"/>
  <c r="AP124" i="1"/>
  <c r="AO124" i="1"/>
  <c r="AC124" i="1"/>
  <c r="Y124" i="1"/>
  <c r="AR124" i="1" s="1"/>
  <c r="X124" i="1"/>
  <c r="A124" i="1"/>
  <c r="AX123" i="1"/>
  <c r="AY123" i="1" s="1"/>
  <c r="AQ123" i="1"/>
  <c r="AS123" i="1" s="1"/>
  <c r="AT123" i="1" s="1"/>
  <c r="AP123" i="1"/>
  <c r="AO123" i="1"/>
  <c r="AC123" i="1"/>
  <c r="Y123" i="1"/>
  <c r="AR123" i="1" s="1"/>
  <c r="X123" i="1"/>
  <c r="A123" i="1"/>
  <c r="AX122" i="1"/>
  <c r="AY122" i="1" s="1"/>
  <c r="AQ122" i="1"/>
  <c r="AP122" i="1"/>
  <c r="AO122" i="1"/>
  <c r="AC122" i="1"/>
  <c r="Y122" i="1"/>
  <c r="AR122" i="1" s="1"/>
  <c r="X122" i="1"/>
  <c r="A122" i="1"/>
  <c r="AY121" i="1"/>
  <c r="AX121" i="1"/>
  <c r="AQ121" i="1"/>
  <c r="AS121" i="1" s="1"/>
  <c r="AT121" i="1" s="1"/>
  <c r="AP121" i="1"/>
  <c r="AO121" i="1"/>
  <c r="AC121" i="1"/>
  <c r="Y121" i="1"/>
  <c r="AR121" i="1" s="1"/>
  <c r="X121" i="1"/>
  <c r="A121" i="1"/>
  <c r="AX120" i="1"/>
  <c r="AY120" i="1" s="1"/>
  <c r="AQ120" i="1"/>
  <c r="AP120" i="1"/>
  <c r="AO120" i="1"/>
  <c r="AC120" i="1"/>
  <c r="Y120" i="1"/>
  <c r="AR120" i="1" s="1"/>
  <c r="X120" i="1"/>
  <c r="A120" i="1"/>
  <c r="AX119" i="1"/>
  <c r="AY119" i="1" s="1"/>
  <c r="AP119" i="1"/>
  <c r="AO119" i="1"/>
  <c r="AC119" i="1"/>
  <c r="AQ119" i="1" s="1"/>
  <c r="AS119" i="1" s="1"/>
  <c r="AT119" i="1" s="1"/>
  <c r="Y119" i="1"/>
  <c r="AR119" i="1" s="1"/>
  <c r="X119" i="1"/>
  <c r="A119" i="1"/>
  <c r="AX118" i="1"/>
  <c r="AY118" i="1" s="1"/>
  <c r="AQ118" i="1"/>
  <c r="AP118" i="1"/>
  <c r="AO118" i="1"/>
  <c r="AC118" i="1"/>
  <c r="Y118" i="1"/>
  <c r="AR118" i="1" s="1"/>
  <c r="X118" i="1"/>
  <c r="A118" i="1"/>
  <c r="AY117" i="1"/>
  <c r="AX117" i="1"/>
  <c r="AQ117" i="1"/>
  <c r="AP117" i="1"/>
  <c r="AO117" i="1"/>
  <c r="AC117" i="1"/>
  <c r="Y117" i="1"/>
  <c r="AR117" i="1" s="1"/>
  <c r="AS117" i="1" s="1"/>
  <c r="AT117" i="1" s="1"/>
  <c r="X117" i="1"/>
  <c r="A117" i="1"/>
  <c r="AX116" i="1"/>
  <c r="AY116" i="1" s="1"/>
  <c r="AR116" i="1"/>
  <c r="AQ116" i="1"/>
  <c r="AS116" i="1" s="1"/>
  <c r="AT116" i="1" s="1"/>
  <c r="AP116" i="1"/>
  <c r="AO116" i="1"/>
  <c r="AC116" i="1"/>
  <c r="Y116" i="1"/>
  <c r="X116" i="1"/>
  <c r="A116" i="1"/>
  <c r="AX115" i="1"/>
  <c r="AY115" i="1" s="1"/>
  <c r="AP115" i="1"/>
  <c r="AO115" i="1"/>
  <c r="AC115" i="1"/>
  <c r="AQ115" i="1" s="1"/>
  <c r="AS115" i="1" s="1"/>
  <c r="AT115" i="1" s="1"/>
  <c r="Y115" i="1"/>
  <c r="AR115" i="1" s="1"/>
  <c r="X115" i="1"/>
  <c r="A115" i="1"/>
  <c r="AX114" i="1"/>
  <c r="AY114" i="1" s="1"/>
  <c r="AQ114" i="1"/>
  <c r="AS114" i="1" s="1"/>
  <c r="AT114" i="1" s="1"/>
  <c r="AP114" i="1"/>
  <c r="AO114" i="1"/>
  <c r="AC114" i="1"/>
  <c r="Y114" i="1"/>
  <c r="AR114" i="1" s="1"/>
  <c r="X114" i="1"/>
  <c r="A114" i="1"/>
  <c r="AX113" i="1"/>
  <c r="AY113" i="1" s="1"/>
  <c r="AQ113" i="1"/>
  <c r="AS113" i="1" s="1"/>
  <c r="AT113" i="1" s="1"/>
  <c r="AP113" i="1"/>
  <c r="AO113" i="1"/>
  <c r="AC113" i="1"/>
  <c r="Y113" i="1"/>
  <c r="AR113" i="1" s="1"/>
  <c r="X113" i="1"/>
  <c r="A113" i="1"/>
  <c r="AX112" i="1"/>
  <c r="AY112" i="1" s="1"/>
  <c r="AR112" i="1"/>
  <c r="AQ112" i="1"/>
  <c r="AP112" i="1"/>
  <c r="AO112" i="1"/>
  <c r="AC112" i="1"/>
  <c r="Y112" i="1"/>
  <c r="X112" i="1"/>
  <c r="A112" i="1"/>
  <c r="AX111" i="1"/>
  <c r="AY111" i="1" s="1"/>
  <c r="AP111" i="1"/>
  <c r="AO111" i="1"/>
  <c r="AC111" i="1"/>
  <c r="AQ111" i="1" s="1"/>
  <c r="AS111" i="1" s="1"/>
  <c r="AT111" i="1" s="1"/>
  <c r="Y111" i="1"/>
  <c r="AR111" i="1" s="1"/>
  <c r="X111" i="1"/>
  <c r="A111" i="1"/>
  <c r="AX110" i="1"/>
  <c r="AY110" i="1" s="1"/>
  <c r="AQ110" i="1"/>
  <c r="AP110" i="1"/>
  <c r="AO110" i="1"/>
  <c r="AC110" i="1"/>
  <c r="Y110" i="1"/>
  <c r="AR110" i="1" s="1"/>
  <c r="X110" i="1"/>
  <c r="A110" i="1"/>
  <c r="AY109" i="1"/>
  <c r="AX109" i="1"/>
  <c r="AQ109" i="1"/>
  <c r="AP109" i="1"/>
  <c r="AO109" i="1"/>
  <c r="AC109" i="1"/>
  <c r="Y109" i="1"/>
  <c r="AR109" i="1" s="1"/>
  <c r="AS109" i="1" s="1"/>
  <c r="AT109" i="1" s="1"/>
  <c r="X109" i="1"/>
  <c r="A109" i="1"/>
  <c r="AX108" i="1"/>
  <c r="AY108" i="1" s="1"/>
  <c r="AQ108" i="1"/>
  <c r="AP108" i="1"/>
  <c r="AO108" i="1"/>
  <c r="AC108" i="1"/>
  <c r="Y108" i="1"/>
  <c r="AR108" i="1" s="1"/>
  <c r="X108" i="1"/>
  <c r="A108" i="1"/>
  <c r="AX107" i="1"/>
  <c r="AY107" i="1" s="1"/>
  <c r="AP107" i="1"/>
  <c r="AO107" i="1"/>
  <c r="AC107" i="1"/>
  <c r="AQ107" i="1" s="1"/>
  <c r="AS107" i="1" s="1"/>
  <c r="AT107" i="1" s="1"/>
  <c r="Y107" i="1"/>
  <c r="AR107" i="1" s="1"/>
  <c r="X107" i="1"/>
  <c r="A107" i="1"/>
  <c r="AX106" i="1"/>
  <c r="AY106" i="1" s="1"/>
  <c r="AQ106" i="1"/>
  <c r="AP106" i="1"/>
  <c r="AO106" i="1"/>
  <c r="AC106" i="1"/>
  <c r="Y106" i="1"/>
  <c r="AR106" i="1" s="1"/>
  <c r="X106" i="1"/>
  <c r="A106" i="1"/>
  <c r="AX105" i="1"/>
  <c r="AY105" i="1" s="1"/>
  <c r="AQ105" i="1"/>
  <c r="AS105" i="1" s="1"/>
  <c r="AT105" i="1" s="1"/>
  <c r="AP105" i="1"/>
  <c r="AO105" i="1"/>
  <c r="AC105" i="1"/>
  <c r="Y105" i="1"/>
  <c r="AR105" i="1" s="1"/>
  <c r="X105" i="1"/>
  <c r="A105" i="1"/>
  <c r="AX104" i="1"/>
  <c r="AY104" i="1" s="1"/>
  <c r="AQ104" i="1"/>
  <c r="AP104" i="1"/>
  <c r="AO104" i="1"/>
  <c r="AC104" i="1"/>
  <c r="Y104" i="1"/>
  <c r="AR104" i="1" s="1"/>
  <c r="X104" i="1"/>
  <c r="A104" i="1"/>
  <c r="AX103" i="1"/>
  <c r="AY103" i="1" s="1"/>
  <c r="AQ103" i="1"/>
  <c r="AS103" i="1" s="1"/>
  <c r="AT103" i="1" s="1"/>
  <c r="AP103" i="1"/>
  <c r="AO103" i="1"/>
  <c r="AC103" i="1"/>
  <c r="Y103" i="1"/>
  <c r="AR103" i="1" s="1"/>
  <c r="X103" i="1"/>
  <c r="A103" i="1"/>
  <c r="AX102" i="1"/>
  <c r="AY102" i="1" s="1"/>
  <c r="AQ102" i="1"/>
  <c r="AP102" i="1"/>
  <c r="AO102" i="1"/>
  <c r="AC102" i="1"/>
  <c r="Y102" i="1"/>
  <c r="AR102" i="1" s="1"/>
  <c r="X102" i="1"/>
  <c r="A102" i="1"/>
  <c r="AX101" i="1"/>
  <c r="AY101" i="1" s="1"/>
  <c r="AS101" i="1"/>
  <c r="AT101" i="1" s="1"/>
  <c r="AQ101" i="1"/>
  <c r="AP101" i="1"/>
  <c r="AO101" i="1"/>
  <c r="AC101" i="1"/>
  <c r="Y101" i="1"/>
  <c r="AR101" i="1" s="1"/>
  <c r="X101" i="1"/>
  <c r="A101" i="1"/>
  <c r="AX100" i="1"/>
  <c r="AY100" i="1" s="1"/>
  <c r="AQ100" i="1"/>
  <c r="AP100" i="1"/>
  <c r="AO100" i="1"/>
  <c r="AC100" i="1"/>
  <c r="Y100" i="1"/>
  <c r="AR100" i="1" s="1"/>
  <c r="X100" i="1"/>
  <c r="A100" i="1"/>
  <c r="AX99" i="1"/>
  <c r="AY99" i="1" s="1"/>
  <c r="AQ99" i="1"/>
  <c r="AS99" i="1" s="1"/>
  <c r="AT99" i="1" s="1"/>
  <c r="AP99" i="1"/>
  <c r="AO99" i="1"/>
  <c r="AC99" i="1"/>
  <c r="Y99" i="1"/>
  <c r="AR99" i="1" s="1"/>
  <c r="X99" i="1"/>
  <c r="A99" i="1"/>
  <c r="AX98" i="1"/>
  <c r="AY98" i="1" s="1"/>
  <c r="AQ98" i="1"/>
  <c r="AP98" i="1"/>
  <c r="AO98" i="1"/>
  <c r="AC98" i="1"/>
  <c r="Y98" i="1"/>
  <c r="AR98" i="1" s="1"/>
  <c r="X98" i="1"/>
  <c r="A98" i="1"/>
  <c r="AX97" i="1"/>
  <c r="AY97" i="1" s="1"/>
  <c r="AQ97" i="1"/>
  <c r="AS97" i="1" s="1"/>
  <c r="AT97" i="1" s="1"/>
  <c r="AP97" i="1"/>
  <c r="AO97" i="1"/>
  <c r="AC97" i="1"/>
  <c r="Y97" i="1"/>
  <c r="AR97" i="1" s="1"/>
  <c r="X97" i="1"/>
  <c r="A97" i="1"/>
  <c r="AX96" i="1"/>
  <c r="AY96" i="1" s="1"/>
  <c r="AR96" i="1"/>
  <c r="AQ96" i="1"/>
  <c r="AS96" i="1" s="1"/>
  <c r="AT96" i="1" s="1"/>
  <c r="AP96" i="1"/>
  <c r="AO96" i="1"/>
  <c r="AC96" i="1"/>
  <c r="Y96" i="1"/>
  <c r="X96" i="1"/>
  <c r="A96" i="1"/>
  <c r="AX95" i="1"/>
  <c r="AY95" i="1" s="1"/>
  <c r="AP95" i="1"/>
  <c r="AO95" i="1"/>
  <c r="AC95" i="1"/>
  <c r="AQ95" i="1" s="1"/>
  <c r="AS95" i="1" s="1"/>
  <c r="AT95" i="1" s="1"/>
  <c r="Y95" i="1"/>
  <c r="AR95" i="1" s="1"/>
  <c r="X95" i="1"/>
  <c r="A95" i="1"/>
  <c r="AX94" i="1"/>
  <c r="AY94" i="1" s="1"/>
  <c r="AQ94" i="1"/>
  <c r="AS94" i="1" s="1"/>
  <c r="AT94" i="1" s="1"/>
  <c r="AP94" i="1"/>
  <c r="AO94" i="1"/>
  <c r="AC94" i="1"/>
  <c r="Y94" i="1"/>
  <c r="AR94" i="1" s="1"/>
  <c r="X94" i="1"/>
  <c r="A94" i="1"/>
  <c r="AY93" i="1"/>
  <c r="AX93" i="1"/>
  <c r="AQ93" i="1"/>
  <c r="AS93" i="1" s="1"/>
  <c r="AT93" i="1" s="1"/>
  <c r="AP93" i="1"/>
  <c r="AO93" i="1"/>
  <c r="AC93" i="1"/>
  <c r="Y93" i="1"/>
  <c r="AR93" i="1" s="1"/>
  <c r="X93" i="1"/>
  <c r="A93" i="1"/>
  <c r="AX92" i="1"/>
  <c r="AY92" i="1" s="1"/>
  <c r="AR92" i="1"/>
  <c r="AQ92" i="1"/>
  <c r="AP92" i="1"/>
  <c r="AO92" i="1"/>
  <c r="AC92" i="1"/>
  <c r="Y92" i="1"/>
  <c r="X92" i="1"/>
  <c r="A92" i="1"/>
  <c r="AX91" i="1"/>
  <c r="AY91" i="1" s="1"/>
  <c r="AQ91" i="1"/>
  <c r="AP91" i="1"/>
  <c r="AO91" i="1"/>
  <c r="AC91" i="1"/>
  <c r="Y91" i="1"/>
  <c r="AR91" i="1" s="1"/>
  <c r="X91" i="1"/>
  <c r="A91" i="1"/>
  <c r="AX90" i="1"/>
  <c r="AY90" i="1" s="1"/>
  <c r="AQ90" i="1"/>
  <c r="AS90" i="1" s="1"/>
  <c r="AT90" i="1" s="1"/>
  <c r="AP90" i="1"/>
  <c r="AO90" i="1"/>
  <c r="AC90" i="1"/>
  <c r="Y90" i="1"/>
  <c r="AR90" i="1" s="1"/>
  <c r="X90" i="1"/>
  <c r="A90" i="1"/>
  <c r="AX89" i="1"/>
  <c r="AY89" i="1" s="1"/>
  <c r="AQ89" i="1"/>
  <c r="AS89" i="1" s="1"/>
  <c r="AT89" i="1" s="1"/>
  <c r="AP89" i="1"/>
  <c r="AO89" i="1"/>
  <c r="AC89" i="1"/>
  <c r="Y89" i="1"/>
  <c r="AR89" i="1" s="1"/>
  <c r="X89" i="1"/>
  <c r="A89" i="1"/>
  <c r="AX88" i="1"/>
  <c r="AY88" i="1" s="1"/>
  <c r="AR88" i="1"/>
  <c r="AQ88" i="1"/>
  <c r="AP88" i="1"/>
  <c r="AO88" i="1"/>
  <c r="AC88" i="1"/>
  <c r="Y88" i="1"/>
  <c r="X88" i="1"/>
  <c r="A88" i="1"/>
  <c r="AX87" i="1"/>
  <c r="AY87" i="1" s="1"/>
  <c r="AP87" i="1"/>
  <c r="AO87" i="1"/>
  <c r="AC87" i="1"/>
  <c r="AQ87" i="1" s="1"/>
  <c r="AS87" i="1" s="1"/>
  <c r="AT87" i="1" s="1"/>
  <c r="Y87" i="1"/>
  <c r="AR87" i="1" s="1"/>
  <c r="X87" i="1"/>
  <c r="A87" i="1"/>
  <c r="AX86" i="1"/>
  <c r="AY86" i="1" s="1"/>
  <c r="AQ86" i="1"/>
  <c r="AP86" i="1"/>
  <c r="AO86" i="1"/>
  <c r="AC86" i="1"/>
  <c r="Y86" i="1"/>
  <c r="AR86" i="1" s="1"/>
  <c r="X86" i="1"/>
  <c r="A86" i="1"/>
  <c r="AY85" i="1"/>
  <c r="AX85" i="1"/>
  <c r="AQ85" i="1"/>
  <c r="AS85" i="1" s="1"/>
  <c r="AT85" i="1" s="1"/>
  <c r="AP85" i="1"/>
  <c r="AO85" i="1"/>
  <c r="AC85" i="1"/>
  <c r="Y85" i="1"/>
  <c r="AR85" i="1" s="1"/>
  <c r="X85" i="1"/>
  <c r="A85" i="1"/>
  <c r="AX84" i="1"/>
  <c r="AY84" i="1" s="1"/>
  <c r="AQ84" i="1"/>
  <c r="AP84" i="1"/>
  <c r="AO84" i="1"/>
  <c r="AC84" i="1"/>
  <c r="Y84" i="1"/>
  <c r="AR84" i="1" s="1"/>
  <c r="X84" i="1"/>
  <c r="A84" i="1"/>
  <c r="AX83" i="1"/>
  <c r="AY83" i="1" s="1"/>
  <c r="AQ83" i="1"/>
  <c r="AS83" i="1" s="1"/>
  <c r="AT83" i="1" s="1"/>
  <c r="AP83" i="1"/>
  <c r="AO83" i="1"/>
  <c r="AC83" i="1"/>
  <c r="Y83" i="1"/>
  <c r="AR83" i="1" s="1"/>
  <c r="X83" i="1"/>
  <c r="A83" i="1"/>
  <c r="AX82" i="1"/>
  <c r="AY82" i="1" s="1"/>
  <c r="AQ82" i="1"/>
  <c r="AP82" i="1"/>
  <c r="AO82" i="1"/>
  <c r="AC82" i="1"/>
  <c r="Y82" i="1"/>
  <c r="AR82" i="1" s="1"/>
  <c r="X82" i="1"/>
  <c r="A82" i="1"/>
  <c r="AX81" i="1"/>
  <c r="AY81" i="1" s="1"/>
  <c r="AS81" i="1"/>
  <c r="AT81" i="1" s="1"/>
  <c r="AQ81" i="1"/>
  <c r="AP81" i="1"/>
  <c r="AO81" i="1"/>
  <c r="AC81" i="1"/>
  <c r="Y81" i="1"/>
  <c r="AR81" i="1" s="1"/>
  <c r="X81" i="1"/>
  <c r="A81" i="1"/>
  <c r="AX80" i="1"/>
  <c r="AY80" i="1" s="1"/>
  <c r="AQ80" i="1"/>
  <c r="AP80" i="1"/>
  <c r="AO80" i="1"/>
  <c r="AC80" i="1"/>
  <c r="Y80" i="1"/>
  <c r="AR80" i="1" s="1"/>
  <c r="X80" i="1"/>
  <c r="A80" i="1"/>
  <c r="AX79" i="1"/>
  <c r="AY79" i="1" s="1"/>
  <c r="AP79" i="1"/>
  <c r="AO79" i="1"/>
  <c r="AC79" i="1"/>
  <c r="AQ79" i="1" s="1"/>
  <c r="AS79" i="1" s="1"/>
  <c r="AT79" i="1" s="1"/>
  <c r="Y79" i="1"/>
  <c r="AR79" i="1" s="1"/>
  <c r="X79" i="1"/>
  <c r="A79" i="1"/>
  <c r="AX78" i="1"/>
  <c r="AY78" i="1" s="1"/>
  <c r="AQ78" i="1"/>
  <c r="AP78" i="1"/>
  <c r="AO78" i="1"/>
  <c r="AC78" i="1"/>
  <c r="Y78" i="1"/>
  <c r="AR78" i="1" s="1"/>
  <c r="X78" i="1"/>
  <c r="A78" i="1"/>
  <c r="AY77" i="1"/>
  <c r="AX77" i="1"/>
  <c r="AQ77" i="1"/>
  <c r="AP77" i="1"/>
  <c r="AO77" i="1"/>
  <c r="AC77" i="1"/>
  <c r="Y77" i="1"/>
  <c r="AR77" i="1" s="1"/>
  <c r="AS77" i="1" s="1"/>
  <c r="AT77" i="1" s="1"/>
  <c r="X77" i="1"/>
  <c r="A77" i="1"/>
  <c r="AX76" i="1"/>
  <c r="AY76" i="1" s="1"/>
  <c r="AR76" i="1"/>
  <c r="AQ76" i="1"/>
  <c r="AS76" i="1" s="1"/>
  <c r="AT76" i="1" s="1"/>
  <c r="AP76" i="1"/>
  <c r="AO76" i="1"/>
  <c r="AC76" i="1"/>
  <c r="Y76" i="1"/>
  <c r="X76" i="1"/>
  <c r="A76" i="1"/>
  <c r="AX75" i="1"/>
  <c r="AY75" i="1" s="1"/>
  <c r="AP75" i="1"/>
  <c r="AO75" i="1"/>
  <c r="AC75" i="1"/>
  <c r="AQ75" i="1" s="1"/>
  <c r="AS75" i="1" s="1"/>
  <c r="AT75" i="1" s="1"/>
  <c r="Y75" i="1"/>
  <c r="AR75" i="1" s="1"/>
  <c r="X75" i="1"/>
  <c r="A75" i="1"/>
  <c r="AX74" i="1"/>
  <c r="AY74" i="1" s="1"/>
  <c r="AQ74" i="1"/>
  <c r="AS74" i="1" s="1"/>
  <c r="AT74" i="1" s="1"/>
  <c r="AP74" i="1"/>
  <c r="AO74" i="1"/>
  <c r="AC74" i="1"/>
  <c r="Y74" i="1"/>
  <c r="AR74" i="1" s="1"/>
  <c r="X74" i="1"/>
  <c r="A74" i="1"/>
  <c r="AX73" i="1"/>
  <c r="AY73" i="1" s="1"/>
  <c r="AQ73" i="1"/>
  <c r="AP73" i="1"/>
  <c r="AO73" i="1"/>
  <c r="AC73" i="1"/>
  <c r="Y73" i="1"/>
  <c r="AR73" i="1" s="1"/>
  <c r="AS73" i="1" s="1"/>
  <c r="AT73" i="1" s="1"/>
  <c r="X73" i="1"/>
  <c r="A73" i="1"/>
  <c r="AX72" i="1"/>
  <c r="AY72" i="1" s="1"/>
  <c r="AR72" i="1"/>
  <c r="AQ72" i="1"/>
  <c r="AS72" i="1" s="1"/>
  <c r="AT72" i="1" s="1"/>
  <c r="AP72" i="1"/>
  <c r="AO72" i="1"/>
  <c r="AC72" i="1"/>
  <c r="Y72" i="1"/>
  <c r="X72" i="1"/>
  <c r="A72" i="1"/>
  <c r="AX71" i="1"/>
  <c r="AY71" i="1" s="1"/>
  <c r="AP71" i="1"/>
  <c r="AO71" i="1"/>
  <c r="AC71" i="1"/>
  <c r="AQ71" i="1" s="1"/>
  <c r="AS71" i="1" s="1"/>
  <c r="AT71" i="1" s="1"/>
  <c r="Y71" i="1"/>
  <c r="AR71" i="1" s="1"/>
  <c r="X71" i="1"/>
  <c r="A71" i="1"/>
  <c r="AX70" i="1"/>
  <c r="AY70" i="1" s="1"/>
  <c r="AQ70" i="1"/>
  <c r="AP70" i="1"/>
  <c r="AO70" i="1"/>
  <c r="AC70" i="1"/>
  <c r="Y70" i="1"/>
  <c r="AR70" i="1" s="1"/>
  <c r="X70" i="1"/>
  <c r="A70" i="1"/>
  <c r="AY69" i="1"/>
  <c r="AX69" i="1"/>
  <c r="AQ69" i="1"/>
  <c r="AS69" i="1" s="1"/>
  <c r="AT69" i="1" s="1"/>
  <c r="AP69" i="1"/>
  <c r="AO69" i="1"/>
  <c r="AC69" i="1"/>
  <c r="Y69" i="1"/>
  <c r="AR69" i="1" s="1"/>
  <c r="X69" i="1"/>
  <c r="A69" i="1"/>
  <c r="AX68" i="1"/>
  <c r="AY68" i="1" s="1"/>
  <c r="AQ68" i="1"/>
  <c r="AS68" i="1" s="1"/>
  <c r="AT68" i="1" s="1"/>
  <c r="AP68" i="1"/>
  <c r="AO68" i="1"/>
  <c r="AC68" i="1"/>
  <c r="Y68" i="1"/>
  <c r="AR68" i="1" s="1"/>
  <c r="X68" i="1"/>
  <c r="A68" i="1"/>
  <c r="AX67" i="1"/>
  <c r="AY67" i="1" s="1"/>
  <c r="AQ67" i="1"/>
  <c r="AS67" i="1" s="1"/>
  <c r="AT67" i="1" s="1"/>
  <c r="AP67" i="1"/>
  <c r="AO67" i="1"/>
  <c r="AC67" i="1"/>
  <c r="Y67" i="1"/>
  <c r="AR67" i="1" s="1"/>
  <c r="X67" i="1"/>
  <c r="A67" i="1"/>
  <c r="AX66" i="1"/>
  <c r="AY66" i="1" s="1"/>
  <c r="AQ66" i="1"/>
  <c r="AP66" i="1"/>
  <c r="AO66" i="1"/>
  <c r="AC66" i="1"/>
  <c r="Y66" i="1"/>
  <c r="AR66" i="1" s="1"/>
  <c r="X66" i="1"/>
  <c r="A66" i="1"/>
  <c r="AX65" i="1"/>
  <c r="AY65" i="1" s="1"/>
  <c r="AS65" i="1"/>
  <c r="AT65" i="1" s="1"/>
  <c r="AQ65" i="1"/>
  <c r="AP65" i="1"/>
  <c r="AO65" i="1"/>
  <c r="AC65" i="1"/>
  <c r="Y65" i="1"/>
  <c r="AR65" i="1" s="1"/>
  <c r="X65" i="1"/>
  <c r="A65" i="1"/>
  <c r="AX64" i="1"/>
  <c r="AY64" i="1" s="1"/>
  <c r="AQ64" i="1"/>
  <c r="AS64" i="1" s="1"/>
  <c r="AT64" i="1" s="1"/>
  <c r="AP64" i="1"/>
  <c r="AO64" i="1"/>
  <c r="AC64" i="1"/>
  <c r="Y64" i="1"/>
  <c r="AR64" i="1" s="1"/>
  <c r="X64" i="1"/>
  <c r="A64" i="1"/>
  <c r="AX63" i="1"/>
  <c r="AY63" i="1" s="1"/>
  <c r="AP63" i="1"/>
  <c r="AO63" i="1"/>
  <c r="AC63" i="1"/>
  <c r="AQ63" i="1" s="1"/>
  <c r="AS63" i="1" s="1"/>
  <c r="AT63" i="1" s="1"/>
  <c r="Y63" i="1"/>
  <c r="AR63" i="1" s="1"/>
  <c r="X63" i="1"/>
  <c r="A63" i="1"/>
  <c r="AX62" i="1"/>
  <c r="AY62" i="1" s="1"/>
  <c r="AQ62" i="1"/>
  <c r="AP62" i="1"/>
  <c r="AO62" i="1"/>
  <c r="AC62" i="1"/>
  <c r="Y62" i="1"/>
  <c r="AR62" i="1" s="1"/>
  <c r="X62" i="1"/>
  <c r="A62" i="1"/>
  <c r="AY61" i="1"/>
  <c r="AX61" i="1"/>
  <c r="AQ61" i="1"/>
  <c r="AP61" i="1"/>
  <c r="AO61" i="1"/>
  <c r="AC61" i="1"/>
  <c r="Y61" i="1"/>
  <c r="AR61" i="1" s="1"/>
  <c r="AS61" i="1" s="1"/>
  <c r="AT61" i="1" s="1"/>
  <c r="X61" i="1"/>
  <c r="A61" i="1"/>
  <c r="AX60" i="1"/>
  <c r="AY60" i="1" s="1"/>
  <c r="AR60" i="1"/>
  <c r="AQ60" i="1"/>
  <c r="AS60" i="1" s="1"/>
  <c r="AT60" i="1" s="1"/>
  <c r="AP60" i="1"/>
  <c r="AO60" i="1"/>
  <c r="AC60" i="1"/>
  <c r="Y60" i="1"/>
  <c r="X60" i="1"/>
  <c r="A60" i="1"/>
  <c r="AX59" i="1"/>
  <c r="AY59" i="1" s="1"/>
  <c r="AP59" i="1"/>
  <c r="AO59" i="1"/>
  <c r="AC59" i="1"/>
  <c r="AQ59" i="1" s="1"/>
  <c r="AS59" i="1" s="1"/>
  <c r="AT59" i="1" s="1"/>
  <c r="Y59" i="1"/>
  <c r="AR59" i="1" s="1"/>
  <c r="X59" i="1"/>
  <c r="A59" i="1"/>
  <c r="AX58" i="1"/>
  <c r="AY58" i="1" s="1"/>
  <c r="AQ58" i="1"/>
  <c r="AS58" i="1" s="1"/>
  <c r="AT58" i="1" s="1"/>
  <c r="AP58" i="1"/>
  <c r="AO58" i="1"/>
  <c r="AC58" i="1"/>
  <c r="Y58" i="1"/>
  <c r="AR58" i="1" s="1"/>
  <c r="X58" i="1"/>
  <c r="A58" i="1"/>
  <c r="AX57" i="1"/>
  <c r="AY57" i="1" s="1"/>
  <c r="AQ57" i="1"/>
  <c r="AP57" i="1"/>
  <c r="AO57" i="1"/>
  <c r="AC57" i="1"/>
  <c r="Y57" i="1"/>
  <c r="AR57" i="1" s="1"/>
  <c r="AS57" i="1" s="1"/>
  <c r="AT57" i="1" s="1"/>
  <c r="X57" i="1"/>
  <c r="A57" i="1"/>
  <c r="AX56" i="1"/>
  <c r="AY56" i="1" s="1"/>
  <c r="AQ56" i="1"/>
  <c r="AP56" i="1"/>
  <c r="AO56" i="1"/>
  <c r="AC56" i="1"/>
  <c r="Y56" i="1"/>
  <c r="AR56" i="1" s="1"/>
  <c r="AS56" i="1" s="1"/>
  <c r="AT56" i="1" s="1"/>
  <c r="X56" i="1"/>
  <c r="A56" i="1"/>
  <c r="AX55" i="1"/>
  <c r="AY55" i="1" s="1"/>
  <c r="AP55" i="1"/>
  <c r="AO55" i="1"/>
  <c r="AC55" i="1"/>
  <c r="AQ55" i="1" s="1"/>
  <c r="AS55" i="1" s="1"/>
  <c r="AT55" i="1" s="1"/>
  <c r="Y55" i="1"/>
  <c r="AR55" i="1" s="1"/>
  <c r="X55" i="1"/>
  <c r="A55" i="1"/>
  <c r="AX54" i="1"/>
  <c r="AY54" i="1" s="1"/>
  <c r="AQ54" i="1"/>
  <c r="AP54" i="1"/>
  <c r="AO54" i="1"/>
  <c r="AC54" i="1"/>
  <c r="Y54" i="1"/>
  <c r="AR54" i="1" s="1"/>
  <c r="X54" i="1"/>
  <c r="A54" i="1"/>
  <c r="AX53" i="1"/>
  <c r="AY53" i="1" s="1"/>
  <c r="AQ53" i="1"/>
  <c r="AS53" i="1" s="1"/>
  <c r="AT53" i="1" s="1"/>
  <c r="AP53" i="1"/>
  <c r="AO53" i="1"/>
  <c r="AC53" i="1"/>
  <c r="Y53" i="1"/>
  <c r="AR53" i="1" s="1"/>
  <c r="X53" i="1"/>
  <c r="A53" i="1"/>
  <c r="AX52" i="1"/>
  <c r="AY52" i="1" s="1"/>
  <c r="AQ52" i="1"/>
  <c r="AS52" i="1" s="1"/>
  <c r="AT52" i="1" s="1"/>
  <c r="AP52" i="1"/>
  <c r="AO52" i="1"/>
  <c r="AC52" i="1"/>
  <c r="Y52" i="1"/>
  <c r="AR52" i="1" s="1"/>
  <c r="X52" i="1"/>
  <c r="A52" i="1"/>
  <c r="AX51" i="1"/>
  <c r="AY51" i="1" s="1"/>
  <c r="AP51" i="1"/>
  <c r="AO51" i="1"/>
  <c r="AC51" i="1"/>
  <c r="AQ51" i="1" s="1"/>
  <c r="AS51" i="1" s="1"/>
  <c r="AT51" i="1" s="1"/>
  <c r="Y51" i="1"/>
  <c r="AR51" i="1" s="1"/>
  <c r="X51" i="1"/>
  <c r="A51" i="1"/>
  <c r="AX50" i="1"/>
  <c r="AY50" i="1" s="1"/>
  <c r="AQ50" i="1"/>
  <c r="AP50" i="1"/>
  <c r="AO50" i="1"/>
  <c r="AC50" i="1"/>
  <c r="X50" i="1"/>
  <c r="Y50" i="1" s="1"/>
  <c r="AR50" i="1" s="1"/>
  <c r="A50" i="1"/>
  <c r="AX49" i="1"/>
  <c r="AY49" i="1" s="1"/>
  <c r="AQ49" i="1"/>
  <c r="AS49" i="1" s="1"/>
  <c r="AT49" i="1" s="1"/>
  <c r="AP49" i="1"/>
  <c r="AO49" i="1"/>
  <c r="AC49" i="1"/>
  <c r="Y49" i="1"/>
  <c r="AR49" i="1" s="1"/>
  <c r="X49" i="1"/>
  <c r="A49" i="1"/>
  <c r="AX48" i="1"/>
  <c r="AY48" i="1" s="1"/>
  <c r="AQ48" i="1"/>
  <c r="AP48" i="1"/>
  <c r="AO48" i="1"/>
  <c r="AC48" i="1"/>
  <c r="X48" i="1"/>
  <c r="Y48" i="1" s="1"/>
  <c r="AR48" i="1" s="1"/>
  <c r="A48" i="1"/>
  <c r="AX47" i="1"/>
  <c r="AY47" i="1" s="1"/>
  <c r="AP47" i="1"/>
  <c r="AO47" i="1"/>
  <c r="AC47" i="1"/>
  <c r="AQ47" i="1" s="1"/>
  <c r="AS47" i="1" s="1"/>
  <c r="AT47" i="1" s="1"/>
  <c r="Y47" i="1"/>
  <c r="AR47" i="1" s="1"/>
  <c r="X47" i="1"/>
  <c r="A47" i="1"/>
  <c r="AX46" i="1"/>
  <c r="AY46" i="1" s="1"/>
  <c r="AT46" i="1"/>
  <c r="AQ46" i="1"/>
  <c r="AS46" i="1" s="1"/>
  <c r="AP46" i="1"/>
  <c r="AO46" i="1"/>
  <c r="AC46" i="1"/>
  <c r="Y46" i="1"/>
  <c r="AR46" i="1" s="1"/>
  <c r="X46" i="1"/>
  <c r="A46" i="1"/>
  <c r="AX45" i="1"/>
  <c r="AY45" i="1" s="1"/>
  <c r="AQ45" i="1"/>
  <c r="AS45" i="1" s="1"/>
  <c r="AT45" i="1" s="1"/>
  <c r="AP45" i="1"/>
  <c r="AO45" i="1"/>
  <c r="AC45" i="1"/>
  <c r="Y45" i="1"/>
  <c r="AR45" i="1" s="1"/>
  <c r="X45" i="1"/>
  <c r="A45" i="1"/>
  <c r="AX44" i="1"/>
  <c r="AY44" i="1" s="1"/>
  <c r="AQ44" i="1"/>
  <c r="AP44" i="1"/>
  <c r="AO44" i="1"/>
  <c r="AC44" i="1"/>
  <c r="X44" i="1"/>
  <c r="Y44" i="1" s="1"/>
  <c r="AR44" i="1" s="1"/>
  <c r="AS44" i="1" s="1"/>
  <c r="AT44" i="1" s="1"/>
  <c r="A44" i="1"/>
  <c r="AX43" i="1"/>
  <c r="AY43" i="1" s="1"/>
  <c r="AP43" i="1"/>
  <c r="AQ43" i="1" s="1"/>
  <c r="AS43" i="1" s="1"/>
  <c r="AT43" i="1" s="1"/>
  <c r="AO43" i="1"/>
  <c r="AC43" i="1"/>
  <c r="Y43" i="1"/>
  <c r="AR43" i="1" s="1"/>
  <c r="X43" i="1"/>
  <c r="A43" i="1"/>
  <c r="AX42" i="1"/>
  <c r="AY42" i="1" s="1"/>
  <c r="AQ42" i="1"/>
  <c r="AP42" i="1"/>
  <c r="AO42" i="1"/>
  <c r="AC42" i="1"/>
  <c r="Y42" i="1"/>
  <c r="AR42" i="1" s="1"/>
  <c r="X42" i="1"/>
  <c r="A42" i="1"/>
  <c r="AX41" i="1"/>
  <c r="AY41" i="1" s="1"/>
  <c r="AP41" i="1"/>
  <c r="AQ41" i="1" s="1"/>
  <c r="AS41" i="1" s="1"/>
  <c r="AT41" i="1" s="1"/>
  <c r="AO41" i="1"/>
  <c r="AC41" i="1"/>
  <c r="Y41" i="1"/>
  <c r="AR41" i="1" s="1"/>
  <c r="X41" i="1"/>
  <c r="A41" i="1"/>
  <c r="AX40" i="1"/>
  <c r="AY40" i="1" s="1"/>
  <c r="AR40" i="1"/>
  <c r="AP40" i="1"/>
  <c r="AQ40" i="1" s="1"/>
  <c r="AS40" i="1" s="1"/>
  <c r="AT40" i="1" s="1"/>
  <c r="AO40" i="1"/>
  <c r="AC40" i="1"/>
  <c r="Y40" i="1"/>
  <c r="X40" i="1"/>
  <c r="A40" i="1"/>
  <c r="AX39" i="1"/>
  <c r="AY39" i="1" s="1"/>
  <c r="AP39" i="1"/>
  <c r="AO39" i="1"/>
  <c r="AC39" i="1"/>
  <c r="AQ39" i="1" s="1"/>
  <c r="X39" i="1"/>
  <c r="Y39" i="1" s="1"/>
  <c r="AR39" i="1" s="1"/>
  <c r="A39" i="1"/>
  <c r="AX38" i="1"/>
  <c r="AY38" i="1" s="1"/>
  <c r="AQ38" i="1"/>
  <c r="AP38" i="1"/>
  <c r="AO38" i="1"/>
  <c r="AC38" i="1"/>
  <c r="X38" i="1"/>
  <c r="Y38" i="1" s="1"/>
  <c r="AR38" i="1" s="1"/>
  <c r="A38" i="1"/>
  <c r="AX37" i="1"/>
  <c r="AY37" i="1" s="1"/>
  <c r="AP37" i="1"/>
  <c r="AO37" i="1"/>
  <c r="AC37" i="1"/>
  <c r="AQ37" i="1" s="1"/>
  <c r="AS37" i="1" s="1"/>
  <c r="AT37" i="1" s="1"/>
  <c r="Y37" i="1"/>
  <c r="AR37" i="1" s="1"/>
  <c r="X37" i="1"/>
  <c r="A37" i="1"/>
  <c r="AX36" i="1"/>
  <c r="AY36" i="1" s="1"/>
  <c r="AP36" i="1"/>
  <c r="AQ36" i="1" s="1"/>
  <c r="AO36" i="1"/>
  <c r="AC36" i="1"/>
  <c r="X36" i="1"/>
  <c r="Y36" i="1" s="1"/>
  <c r="AR36" i="1" s="1"/>
  <c r="A36" i="1"/>
  <c r="AX35" i="1"/>
  <c r="AY35" i="1" s="1"/>
  <c r="AP35" i="1"/>
  <c r="AQ35" i="1" s="1"/>
  <c r="AS35" i="1" s="1"/>
  <c r="AT35" i="1" s="1"/>
  <c r="AO35" i="1"/>
  <c r="AC35" i="1"/>
  <c r="Y35" i="1"/>
  <c r="AR35" i="1" s="1"/>
  <c r="X35" i="1"/>
  <c r="A35" i="1"/>
  <c r="AX34" i="1"/>
  <c r="AY34" i="1" s="1"/>
  <c r="AQ34" i="1"/>
  <c r="AP34" i="1"/>
  <c r="AO34" i="1"/>
  <c r="AC34" i="1"/>
  <c r="X34" i="1"/>
  <c r="Y34" i="1" s="1"/>
  <c r="AR34" i="1" s="1"/>
  <c r="A34" i="1"/>
  <c r="AY33" i="1"/>
  <c r="AX33" i="1"/>
  <c r="AP33" i="1"/>
  <c r="AO33" i="1"/>
  <c r="AC33" i="1"/>
  <c r="AQ33" i="1" s="1"/>
  <c r="AS33" i="1" s="1"/>
  <c r="AT33" i="1" s="1"/>
  <c r="Y33" i="1"/>
  <c r="AR33" i="1" s="1"/>
  <c r="X33" i="1"/>
  <c r="A33" i="1"/>
  <c r="AX32" i="1"/>
  <c r="AY32" i="1" s="1"/>
  <c r="AR32" i="1"/>
  <c r="AP32" i="1"/>
  <c r="AQ32" i="1" s="1"/>
  <c r="AS32" i="1" s="1"/>
  <c r="AT32" i="1" s="1"/>
  <c r="AO32" i="1"/>
  <c r="AC32" i="1"/>
  <c r="Y32" i="1"/>
  <c r="X32" i="1"/>
  <c r="A32" i="1"/>
  <c r="AX31" i="1"/>
  <c r="AY31" i="1" s="1"/>
  <c r="AP31" i="1"/>
  <c r="AO31" i="1"/>
  <c r="AC31" i="1"/>
  <c r="AQ31" i="1" s="1"/>
  <c r="AS31" i="1" s="1"/>
  <c r="AT31" i="1" s="1"/>
  <c r="X31" i="1"/>
  <c r="Y31" i="1" s="1"/>
  <c r="AR31" i="1" s="1"/>
  <c r="A31" i="1"/>
  <c r="AX30" i="1"/>
  <c r="AY30" i="1" s="1"/>
  <c r="AQ30" i="1"/>
  <c r="AP30" i="1"/>
  <c r="AO30" i="1"/>
  <c r="AC30" i="1"/>
  <c r="X30" i="1"/>
  <c r="Y30" i="1" s="1"/>
  <c r="AR30" i="1" s="1"/>
  <c r="A30" i="1"/>
  <c r="AY29" i="1"/>
  <c r="AX29" i="1"/>
  <c r="AP29" i="1"/>
  <c r="AO29" i="1"/>
  <c r="AC29" i="1"/>
  <c r="AQ29" i="1" s="1"/>
  <c r="AS29" i="1" s="1"/>
  <c r="AT29" i="1" s="1"/>
  <c r="Y29" i="1"/>
  <c r="AR29" i="1" s="1"/>
  <c r="X29" i="1"/>
  <c r="A29" i="1"/>
  <c r="AX28" i="1"/>
  <c r="AY28" i="1" s="1"/>
  <c r="AP28" i="1"/>
  <c r="AQ28" i="1" s="1"/>
  <c r="AO28" i="1"/>
  <c r="AC28" i="1"/>
  <c r="X28" i="1"/>
  <c r="Y28" i="1" s="1"/>
  <c r="AR28" i="1" s="1"/>
  <c r="A28" i="1"/>
  <c r="AX27" i="1"/>
  <c r="AY27" i="1" s="1"/>
  <c r="AQ27" i="1"/>
  <c r="AS27" i="1" s="1"/>
  <c r="AT27" i="1" s="1"/>
  <c r="AP27" i="1"/>
  <c r="AO27" i="1"/>
  <c r="AC27" i="1"/>
  <c r="Y27" i="1"/>
  <c r="AR27" i="1" s="1"/>
  <c r="X27" i="1"/>
  <c r="A27" i="1"/>
  <c r="AX26" i="1"/>
  <c r="AY26" i="1" s="1"/>
  <c r="AQ26" i="1"/>
  <c r="AP26" i="1"/>
  <c r="AO26" i="1"/>
  <c r="AC26" i="1"/>
  <c r="X26" i="1"/>
  <c r="Y26" i="1" s="1"/>
  <c r="AR26" i="1" s="1"/>
  <c r="A26" i="1"/>
  <c r="AX25" i="1"/>
  <c r="AY25" i="1" s="1"/>
  <c r="AP25" i="1"/>
  <c r="AO25" i="1"/>
  <c r="AC25" i="1"/>
  <c r="AQ25" i="1" s="1"/>
  <c r="AS25" i="1" s="1"/>
  <c r="AT25" i="1" s="1"/>
  <c r="Y25" i="1"/>
  <c r="AR25" i="1" s="1"/>
  <c r="X25" i="1"/>
  <c r="A25" i="1"/>
  <c r="AX24" i="1"/>
  <c r="AY24" i="1" s="1"/>
  <c r="AR24" i="1"/>
  <c r="AS24" i="1" s="1"/>
  <c r="AT24" i="1" s="1"/>
  <c r="AQ24" i="1"/>
  <c r="AP24" i="1"/>
  <c r="AO24" i="1"/>
  <c r="AC24" i="1"/>
  <c r="Y24" i="1"/>
  <c r="X24" i="1"/>
  <c r="A24" i="1"/>
  <c r="AX23" i="1"/>
  <c r="AY23" i="1" s="1"/>
  <c r="AP23" i="1"/>
  <c r="AO23" i="1"/>
  <c r="AC23" i="1"/>
  <c r="AQ23" i="1" s="1"/>
  <c r="AS23" i="1" s="1"/>
  <c r="AT23" i="1" s="1"/>
  <c r="X23" i="1"/>
  <c r="Y23" i="1" s="1"/>
  <c r="AR23" i="1" s="1"/>
  <c r="A23" i="1"/>
  <c r="AX22" i="1"/>
  <c r="AY22" i="1" s="1"/>
  <c r="AP22" i="1"/>
  <c r="AO22" i="1"/>
  <c r="AC22" i="1"/>
  <c r="AQ22" i="1" s="1"/>
  <c r="AS22" i="1" s="1"/>
  <c r="AT22" i="1" s="1"/>
  <c r="X22" i="1"/>
  <c r="Y22" i="1" s="1"/>
  <c r="AR22" i="1" s="1"/>
  <c r="A22" i="1"/>
  <c r="AY21" i="1"/>
  <c r="AX21" i="1"/>
  <c r="AP21" i="1"/>
  <c r="AQ21" i="1" s="1"/>
  <c r="AS21" i="1" s="1"/>
  <c r="AT21" i="1" s="1"/>
  <c r="AO21" i="1"/>
  <c r="AC21" i="1"/>
  <c r="Y21" i="1"/>
  <c r="AR21" i="1" s="1"/>
  <c r="X21" i="1"/>
  <c r="A21" i="1"/>
  <c r="AX20" i="1"/>
  <c r="AY20" i="1" s="1"/>
  <c r="AQ20" i="1"/>
  <c r="AP20" i="1"/>
  <c r="AO20" i="1"/>
  <c r="AC20" i="1"/>
  <c r="X20" i="1"/>
  <c r="Y20" i="1" s="1"/>
  <c r="AR20" i="1" s="1"/>
  <c r="A20" i="1"/>
  <c r="AX19" i="1"/>
  <c r="AY19" i="1" s="1"/>
  <c r="AP19" i="1"/>
  <c r="AO19" i="1"/>
  <c r="AC19" i="1"/>
  <c r="AQ19" i="1" s="1"/>
  <c r="Y19" i="1"/>
  <c r="AR19" i="1" s="1"/>
  <c r="X19" i="1"/>
  <c r="A19" i="1"/>
  <c r="AX18" i="1"/>
  <c r="AY18" i="1" s="1"/>
  <c r="AR18" i="1"/>
  <c r="AQ18" i="1"/>
  <c r="AS18" i="1" s="1"/>
  <c r="AT18" i="1" s="1"/>
  <c r="AP18" i="1"/>
  <c r="AO18" i="1"/>
  <c r="AC18" i="1"/>
  <c r="Y18" i="1"/>
  <c r="X18" i="1"/>
  <c r="A18" i="1"/>
  <c r="AX17" i="1"/>
  <c r="AY17" i="1" s="1"/>
  <c r="AP17" i="1"/>
  <c r="AO17" i="1"/>
  <c r="AC17" i="1"/>
  <c r="AQ17" i="1" s="1"/>
  <c r="AS17" i="1" s="1"/>
  <c r="AT17" i="1" s="1"/>
  <c r="Y17" i="1"/>
  <c r="AR17" i="1" s="1"/>
  <c r="X17" i="1"/>
  <c r="A17" i="1"/>
  <c r="AY16" i="1"/>
  <c r="AX16" i="1"/>
  <c r="AP16" i="1"/>
  <c r="AQ16" i="1" s="1"/>
  <c r="AO16" i="1"/>
  <c r="AC16" i="1"/>
  <c r="X16" i="1"/>
  <c r="Y16" i="1" s="1"/>
  <c r="AR16" i="1" s="1"/>
  <c r="A16" i="1"/>
  <c r="AX15" i="1"/>
  <c r="AY15" i="1" s="1"/>
  <c r="AQ15" i="1"/>
  <c r="AP15" i="1"/>
  <c r="AO15" i="1"/>
  <c r="AC15" i="1"/>
  <c r="X15" i="1"/>
  <c r="Y15" i="1" s="1"/>
  <c r="AR15" i="1" s="1"/>
  <c r="A15" i="1"/>
  <c r="AX14" i="1"/>
  <c r="AY14" i="1" s="1"/>
  <c r="AP14" i="1"/>
  <c r="AO14" i="1"/>
  <c r="AC14" i="1"/>
  <c r="AQ14" i="1" s="1"/>
  <c r="AS14" i="1" s="1"/>
  <c r="AT14" i="1" s="1"/>
  <c r="X14" i="1"/>
  <c r="Y14" i="1" s="1"/>
  <c r="AR14" i="1" s="1"/>
  <c r="A14" i="1"/>
  <c r="AX13" i="1"/>
  <c r="AY13" i="1" s="1"/>
  <c r="AP13" i="1"/>
  <c r="AO13" i="1"/>
  <c r="AC13" i="1"/>
  <c r="AQ13" i="1" s="1"/>
  <c r="AS13" i="1" s="1"/>
  <c r="AT13" i="1" s="1"/>
  <c r="Y13" i="1"/>
  <c r="AR13" i="1" s="1"/>
  <c r="X13" i="1"/>
  <c r="A13" i="1"/>
  <c r="AX12" i="1"/>
  <c r="AY12" i="1" s="1"/>
  <c r="AP12" i="1"/>
  <c r="AQ12" i="1" s="1"/>
  <c r="AS12" i="1" s="1"/>
  <c r="AT12" i="1" s="1"/>
  <c r="AO12" i="1"/>
  <c r="AC12" i="1"/>
  <c r="X12" i="1"/>
  <c r="Y12" i="1" s="1"/>
  <c r="AR12" i="1" s="1"/>
  <c r="A12" i="1"/>
  <c r="AY11" i="1"/>
  <c r="AX11" i="1"/>
  <c r="AR11" i="1"/>
  <c r="AP11" i="1"/>
  <c r="AO11" i="1"/>
  <c r="AC11" i="1"/>
  <c r="AQ11" i="1" s="1"/>
  <c r="AS11" i="1" s="1"/>
  <c r="AT11" i="1" s="1"/>
  <c r="Y11" i="1"/>
  <c r="X11" i="1"/>
  <c r="A11" i="1"/>
  <c r="AX10" i="1"/>
  <c r="AY10" i="1" s="1"/>
  <c r="AP10" i="1"/>
  <c r="AO10" i="1"/>
  <c r="AC10" i="1"/>
  <c r="AQ10" i="1" s="1"/>
  <c r="AS10" i="1" s="1"/>
  <c r="AT10" i="1" s="1"/>
  <c r="X10" i="1"/>
  <c r="Y10" i="1" s="1"/>
  <c r="AR10" i="1" s="1"/>
  <c r="A10" i="1"/>
  <c r="AX9" i="1"/>
  <c r="AY9" i="1" s="1"/>
  <c r="AQ9" i="1"/>
  <c r="AS9" i="1" s="1"/>
  <c r="AT9" i="1" s="1"/>
  <c r="AP9" i="1"/>
  <c r="AO9" i="1"/>
  <c r="AC9" i="1"/>
  <c r="Y9" i="1"/>
  <c r="AR9" i="1" s="1"/>
  <c r="X9" i="1"/>
  <c r="A9" i="1"/>
  <c r="AX8" i="1"/>
  <c r="AY8" i="1" s="1"/>
  <c r="AR8" i="1"/>
  <c r="AP8" i="1"/>
  <c r="AQ8" i="1" s="1"/>
  <c r="AS8" i="1" s="1"/>
  <c r="AT8" i="1" s="1"/>
  <c r="AO8" i="1"/>
  <c r="AC8" i="1"/>
  <c r="Y8" i="1"/>
  <c r="X8" i="1"/>
  <c r="A8" i="1"/>
  <c r="AX7" i="1"/>
  <c r="AY7" i="1" s="1"/>
  <c r="AP7" i="1"/>
  <c r="AO7" i="1"/>
  <c r="AC7" i="1"/>
  <c r="AQ7" i="1" s="1"/>
  <c r="X7" i="1"/>
  <c r="Y7" i="1" s="1"/>
  <c r="AR7" i="1" s="1"/>
  <c r="A7" i="1"/>
  <c r="AX6" i="1"/>
  <c r="AY6" i="1" s="1"/>
  <c r="AP6" i="1"/>
  <c r="AO6" i="1"/>
  <c r="AC6" i="1"/>
  <c r="AQ6" i="1" s="1"/>
  <c r="AS6" i="1" s="1"/>
  <c r="AT6" i="1" s="1"/>
  <c r="Y6" i="1"/>
  <c r="AR6" i="1" s="1"/>
  <c r="X6" i="1"/>
  <c r="A6" i="1"/>
  <c r="AX5" i="1"/>
  <c r="AQ5" i="1"/>
  <c r="AP5" i="1"/>
  <c r="AO5" i="1"/>
  <c r="AC5" i="1"/>
  <c r="X5" i="1"/>
  <c r="A5" i="1"/>
  <c r="AS19" i="1" l="1"/>
  <c r="AT19" i="1" s="1"/>
  <c r="A17" i="3"/>
  <c r="AS28" i="1"/>
  <c r="AT28" i="1" s="1"/>
  <c r="AS80" i="1"/>
  <c r="AT80" i="1" s="1"/>
  <c r="AS48" i="1"/>
  <c r="AT48" i="1" s="1"/>
  <c r="AS84" i="1"/>
  <c r="AT84" i="1" s="1"/>
  <c r="AS7" i="1"/>
  <c r="AT7" i="1" s="1"/>
  <c r="AS20" i="1"/>
  <c r="AT20" i="1" s="1"/>
  <c r="AS16" i="1"/>
  <c r="AT16" i="1" s="1"/>
  <c r="AS36" i="1"/>
  <c r="AT36" i="1" s="1"/>
  <c r="AS39" i="1"/>
  <c r="AT39" i="1" s="1"/>
  <c r="AS92" i="1"/>
  <c r="AT92" i="1" s="1"/>
  <c r="A51" i="6"/>
  <c r="A43" i="6"/>
  <c r="A51" i="5"/>
  <c r="A51" i="7"/>
  <c r="A43" i="3"/>
  <c r="A43" i="7"/>
  <c r="A43" i="4"/>
  <c r="A51" i="4"/>
  <c r="A43" i="5"/>
  <c r="A49" i="3"/>
  <c r="A51" i="3"/>
  <c r="E11" i="2"/>
  <c r="A15" i="3"/>
  <c r="C36" i="8"/>
  <c r="E36" i="8"/>
  <c r="A36" i="3"/>
  <c r="A37" i="3"/>
  <c r="AS38" i="1"/>
  <c r="AT38" i="1" s="1"/>
  <c r="AY5" i="1"/>
  <c r="AS62" i="1"/>
  <c r="AT62" i="1" s="1"/>
  <c r="AS78" i="1"/>
  <c r="AT78" i="1" s="1"/>
  <c r="AS118" i="1"/>
  <c r="AT118" i="1" s="1"/>
  <c r="AS120" i="1"/>
  <c r="AT120" i="1" s="1"/>
  <c r="AS196" i="1"/>
  <c r="AT196" i="1" s="1"/>
  <c r="A53" i="7"/>
  <c r="A61" i="6"/>
  <c r="A61" i="7"/>
  <c r="A61" i="4"/>
  <c r="A53" i="5"/>
  <c r="A53" i="6"/>
  <c r="A61" i="3"/>
  <c r="A53" i="4"/>
  <c r="A61" i="5"/>
  <c r="A53" i="3"/>
  <c r="A57" i="3"/>
  <c r="AS50" i="1"/>
  <c r="AT50" i="1" s="1"/>
  <c r="AS98" i="1"/>
  <c r="AT98" i="1" s="1"/>
  <c r="AS100" i="1"/>
  <c r="AT100" i="1" s="1"/>
  <c r="AS146" i="1"/>
  <c r="AT146" i="1" s="1"/>
  <c r="AS150" i="1"/>
  <c r="AT150" i="1" s="1"/>
  <c r="AS186" i="1"/>
  <c r="AT186" i="1" s="1"/>
  <c r="AS142" i="1"/>
  <c r="AT142" i="1" s="1"/>
  <c r="AS144" i="1"/>
  <c r="AT144" i="1" s="1"/>
  <c r="AS156" i="1"/>
  <c r="AT156" i="1" s="1"/>
  <c r="AS174" i="1"/>
  <c r="AT174" i="1" s="1"/>
  <c r="AS178" i="1"/>
  <c r="AT178" i="1" s="1"/>
  <c r="A36" i="7"/>
  <c r="A18" i="7"/>
  <c r="A30" i="7"/>
  <c r="A29" i="7"/>
  <c r="A28" i="7"/>
  <c r="A69" i="6"/>
  <c r="A20" i="7"/>
  <c r="A19" i="7"/>
  <c r="A67" i="6"/>
  <c r="A66" i="6"/>
  <c r="A70" i="7"/>
  <c r="A69" i="7"/>
  <c r="A68" i="7"/>
  <c r="A26" i="6"/>
  <c r="A60" i="7"/>
  <c r="A59" i="7"/>
  <c r="A40" i="7"/>
  <c r="A39" i="7"/>
  <c r="A38" i="7"/>
  <c r="A17" i="7"/>
  <c r="A58" i="6"/>
  <c r="A45" i="6"/>
  <c r="A39" i="6"/>
  <c r="A15" i="6"/>
  <c r="A46" i="6"/>
  <c r="A40" i="6"/>
  <c r="A35" i="7"/>
  <c r="A10" i="7"/>
  <c r="A47" i="6"/>
  <c r="A57" i="5"/>
  <c r="A25" i="7"/>
  <c r="A7" i="7"/>
  <c r="A59" i="6"/>
  <c r="A48" i="6"/>
  <c r="A48" i="7"/>
  <c r="A46" i="7"/>
  <c r="A68" i="6"/>
  <c r="A49" i="6"/>
  <c r="A65" i="7"/>
  <c r="A50" i="7"/>
  <c r="A9" i="6"/>
  <c r="A56" i="7"/>
  <c r="A15" i="7"/>
  <c r="A60" i="6"/>
  <c r="A50" i="6"/>
  <c r="A8" i="6"/>
  <c r="A55" i="6"/>
  <c r="A7" i="6"/>
  <c r="A69" i="5"/>
  <c r="A58" i="7"/>
  <c r="A26" i="7"/>
  <c r="A8" i="7"/>
  <c r="A65" i="6"/>
  <c r="A67" i="7"/>
  <c r="A5" i="7"/>
  <c r="A56" i="6"/>
  <c r="A27" i="6"/>
  <c r="A16" i="7"/>
  <c r="A49" i="7"/>
  <c r="A47" i="7"/>
  <c r="A45" i="7"/>
  <c r="A66" i="7"/>
  <c r="A57" i="7"/>
  <c r="A37" i="7"/>
  <c r="A70" i="5"/>
  <c r="A37" i="5"/>
  <c r="A19" i="5"/>
  <c r="A28" i="6"/>
  <c r="A36" i="5"/>
  <c r="A18" i="5"/>
  <c r="A37" i="6"/>
  <c r="A35" i="5"/>
  <c r="A17" i="5"/>
  <c r="A57" i="6"/>
  <c r="A20" i="6"/>
  <c r="A16" i="5"/>
  <c r="A60" i="4"/>
  <c r="A9" i="7"/>
  <c r="A70" i="6"/>
  <c r="A17" i="6"/>
  <c r="A15" i="5"/>
  <c r="A30" i="6"/>
  <c r="A58" i="4"/>
  <c r="A10" i="6"/>
  <c r="A5" i="6"/>
  <c r="A30" i="5"/>
  <c r="A57" i="4"/>
  <c r="A36" i="6"/>
  <c r="A25" i="6"/>
  <c r="A6" i="6"/>
  <c r="A55" i="7"/>
  <c r="A56" i="5"/>
  <c r="A55" i="5"/>
  <c r="A18" i="6"/>
  <c r="A27" i="5"/>
  <c r="A65" i="5"/>
  <c r="A58" i="5"/>
  <c r="A29" i="6"/>
  <c r="A67" i="5"/>
  <c r="A60" i="5"/>
  <c r="A16" i="6"/>
  <c r="A38" i="5"/>
  <c r="A47" i="5"/>
  <c r="A26" i="5"/>
  <c r="A7" i="5"/>
  <c r="A35" i="4"/>
  <c r="A17" i="4"/>
  <c r="A50" i="5"/>
  <c r="A16" i="4"/>
  <c r="A60" i="3"/>
  <c r="A27" i="7"/>
  <c r="A38" i="6"/>
  <c r="A68" i="5"/>
  <c r="A69" i="4"/>
  <c r="A15" i="4"/>
  <c r="A66" i="4"/>
  <c r="A58" i="3"/>
  <c r="A40" i="3"/>
  <c r="A35" i="6"/>
  <c r="A40" i="5"/>
  <c r="A59" i="4"/>
  <c r="A30" i="4"/>
  <c r="A46" i="5"/>
  <c r="A8" i="5"/>
  <c r="A47" i="4"/>
  <c r="A29" i="4"/>
  <c r="A6" i="7"/>
  <c r="A66" i="5"/>
  <c r="A49" i="5"/>
  <c r="A29" i="5"/>
  <c r="A20" i="5"/>
  <c r="A5" i="5"/>
  <c r="A70" i="4"/>
  <c r="A55" i="4"/>
  <c r="A49" i="4"/>
  <c r="A45" i="4"/>
  <c r="A27" i="4"/>
  <c r="A67" i="4"/>
  <c r="A50" i="4"/>
  <c r="A26" i="4"/>
  <c r="A8" i="4"/>
  <c r="A25" i="5"/>
  <c r="A56" i="4"/>
  <c r="A25" i="4"/>
  <c r="A9" i="5"/>
  <c r="A6" i="4"/>
  <c r="A48" i="5"/>
  <c r="A45" i="5"/>
  <c r="A39" i="5"/>
  <c r="A6" i="5"/>
  <c r="A39" i="4"/>
  <c r="A66" i="3"/>
  <c r="A59" i="5"/>
  <c r="A28" i="5"/>
  <c r="A10" i="5"/>
  <c r="A36" i="4"/>
  <c r="A67" i="3"/>
  <c r="A68" i="4"/>
  <c r="A38" i="4"/>
  <c r="A19" i="4"/>
  <c r="A45" i="3"/>
  <c r="A19" i="6"/>
  <c r="A30" i="3"/>
  <c r="A29" i="3"/>
  <c r="A68" i="3"/>
  <c r="A46" i="3"/>
  <c r="A28" i="3"/>
  <c r="A10" i="3"/>
  <c r="A5" i="4"/>
  <c r="A59" i="3"/>
  <c r="A47" i="3"/>
  <c r="A26" i="3"/>
  <c r="A8" i="3"/>
  <c r="A37" i="4"/>
  <c r="A69" i="3"/>
  <c r="A25" i="3"/>
  <c r="A7" i="3"/>
  <c r="A48" i="4"/>
  <c r="A9" i="4"/>
  <c r="A48" i="3"/>
  <c r="A6" i="3"/>
  <c r="A40" i="4"/>
  <c r="A5" i="3"/>
  <c r="A20" i="4"/>
  <c r="A70" i="3"/>
  <c r="A65" i="3"/>
  <c r="A65" i="4"/>
  <c r="A18" i="4"/>
  <c r="A55" i="3"/>
  <c r="A50" i="3"/>
  <c r="A19" i="3"/>
  <c r="A7" i="4"/>
  <c r="A56" i="3"/>
  <c r="A46" i="4"/>
  <c r="A28" i="4"/>
  <c r="A39" i="3"/>
  <c r="A35" i="3"/>
  <c r="A16" i="3"/>
  <c r="A10" i="4"/>
  <c r="AS124" i="1"/>
  <c r="AT124" i="1" s="1"/>
  <c r="AS66" i="1"/>
  <c r="AT66" i="1" s="1"/>
  <c r="AS82" i="1"/>
  <c r="AT82" i="1" s="1"/>
  <c r="AS102" i="1"/>
  <c r="AT102" i="1" s="1"/>
  <c r="AS104" i="1"/>
  <c r="AT104" i="1" s="1"/>
  <c r="AS158" i="1"/>
  <c r="AT158" i="1" s="1"/>
  <c r="AS166" i="1"/>
  <c r="AT166" i="1" s="1"/>
  <c r="AS42" i="1"/>
  <c r="AT42" i="1" s="1"/>
  <c r="AS171" i="1"/>
  <c r="AT171" i="1" s="1"/>
  <c r="AS34" i="1"/>
  <c r="AT34" i="1" s="1"/>
  <c r="AS126" i="1"/>
  <c r="AT126" i="1" s="1"/>
  <c r="AS128" i="1"/>
  <c r="AT128" i="1" s="1"/>
  <c r="AS195" i="1"/>
  <c r="AT195" i="1" s="1"/>
  <c r="AS26" i="1"/>
  <c r="AT26" i="1" s="1"/>
  <c r="AS91" i="1"/>
  <c r="AT91" i="1" s="1"/>
  <c r="G9" i="8"/>
  <c r="AS54" i="1"/>
  <c r="AT54" i="1" s="1"/>
  <c r="AS106" i="1"/>
  <c r="AT106" i="1" s="1"/>
  <c r="AS108" i="1"/>
  <c r="AT108" i="1" s="1"/>
  <c r="AS187" i="1"/>
  <c r="AT187" i="1" s="1"/>
  <c r="AS122" i="1"/>
  <c r="AT122" i="1" s="1"/>
  <c r="Y5" i="1"/>
  <c r="AR5" i="1" s="1"/>
  <c r="E9" i="8" s="1"/>
  <c r="AS70" i="1"/>
  <c r="AT70" i="1" s="1"/>
  <c r="AS86" i="1"/>
  <c r="AT86" i="1" s="1"/>
  <c r="AS88" i="1"/>
  <c r="AT88" i="1" s="1"/>
  <c r="AQ151" i="1"/>
  <c r="AS151" i="1" s="1"/>
  <c r="AT151" i="1" s="1"/>
  <c r="AS161" i="1"/>
  <c r="AT161" i="1" s="1"/>
  <c r="AS183" i="1"/>
  <c r="AT183" i="1" s="1"/>
  <c r="A9" i="3"/>
  <c r="AS15" i="1"/>
  <c r="AT15" i="1" s="1"/>
  <c r="AS153" i="1"/>
  <c r="AT153" i="1" s="1"/>
  <c r="AS159" i="1"/>
  <c r="AT159" i="1" s="1"/>
  <c r="I5" i="8"/>
  <c r="AS30" i="1"/>
  <c r="AT30" i="1" s="1"/>
  <c r="AS110" i="1"/>
  <c r="AT110" i="1" s="1"/>
  <c r="AS112" i="1"/>
  <c r="AT112" i="1" s="1"/>
  <c r="AS155" i="1"/>
  <c r="AT155" i="1" s="1"/>
  <c r="AS173" i="1"/>
  <c r="AT173" i="1" s="1"/>
  <c r="AS198" i="1"/>
  <c r="AT198" i="1" s="1"/>
  <c r="AS190" i="1"/>
  <c r="AT190" i="1" s="1"/>
  <c r="AS182" i="1"/>
  <c r="AT182" i="1" s="1"/>
  <c r="AS199" i="1"/>
  <c r="AT199" i="1" s="1"/>
  <c r="AS194" i="1"/>
  <c r="AT194" i="1" s="1"/>
  <c r="A71" i="7"/>
  <c r="A63" i="7"/>
  <c r="A71" i="6"/>
  <c r="A63" i="6"/>
  <c r="A63" i="4"/>
  <c r="A71" i="5"/>
  <c r="A63" i="5"/>
  <c r="A71" i="4"/>
  <c r="A63" i="3"/>
  <c r="J75" i="3"/>
  <c r="J76" i="3"/>
  <c r="J81" i="6"/>
  <c r="J80" i="7"/>
  <c r="J79" i="7"/>
  <c r="J77" i="7"/>
  <c r="J76" i="7"/>
  <c r="J75" i="7"/>
  <c r="J83" i="6"/>
  <c r="J82" i="6"/>
  <c r="J82" i="7"/>
  <c r="J75" i="6"/>
  <c r="J83" i="7"/>
  <c r="J76" i="5"/>
  <c r="J81" i="7"/>
  <c r="A11" i="6"/>
  <c r="J78" i="7"/>
  <c r="A11" i="7"/>
  <c r="A3" i="7"/>
  <c r="J79" i="6"/>
  <c r="J78" i="6"/>
  <c r="J82" i="4"/>
  <c r="J77" i="6"/>
  <c r="J81" i="4"/>
  <c r="J76" i="6"/>
  <c r="J80" i="4"/>
  <c r="J79" i="4"/>
  <c r="J77" i="4"/>
  <c r="J76" i="4"/>
  <c r="A3" i="6"/>
  <c r="J83" i="5"/>
  <c r="J82" i="5"/>
  <c r="J81" i="5"/>
  <c r="J80" i="5"/>
  <c r="J79" i="5"/>
  <c r="J80" i="6"/>
  <c r="J75" i="5"/>
  <c r="J80" i="3"/>
  <c r="J79" i="3"/>
  <c r="J77" i="3"/>
  <c r="A11" i="5"/>
  <c r="A3" i="5"/>
  <c r="J83" i="4"/>
  <c r="J78" i="4"/>
  <c r="J75" i="4"/>
  <c r="J78" i="5"/>
  <c r="A3" i="4"/>
  <c r="J81" i="3"/>
  <c r="E7" i="2"/>
  <c r="J82" i="3"/>
  <c r="A21" i="7"/>
  <c r="A13" i="7"/>
  <c r="A13" i="5"/>
  <c r="A21" i="6"/>
  <c r="A13" i="6"/>
  <c r="A13" i="4"/>
  <c r="A21" i="5"/>
  <c r="A21" i="4"/>
  <c r="J83" i="3"/>
  <c r="J77" i="5"/>
  <c r="A31" i="7"/>
  <c r="A23" i="7"/>
  <c r="A23" i="6"/>
  <c r="A31" i="5"/>
  <c r="A31" i="6"/>
  <c r="A31" i="4"/>
  <c r="A23" i="5"/>
  <c r="A23" i="4"/>
  <c r="A11" i="4"/>
  <c r="E9" i="2"/>
  <c r="A11" i="3"/>
  <c r="A31" i="3"/>
  <c r="A33" i="6"/>
  <c r="A41" i="7"/>
  <c r="A41" i="6"/>
  <c r="A33" i="7"/>
  <c r="A33" i="5"/>
  <c r="A33" i="4"/>
  <c r="A41" i="4"/>
  <c r="E10" i="2"/>
  <c r="A13" i="3"/>
  <c r="A33" i="3"/>
  <c r="E43" i="8"/>
  <c r="C43" i="8"/>
  <c r="F87" i="11"/>
  <c r="E35" i="8"/>
  <c r="C35" i="8"/>
  <c r="G53" i="8"/>
  <c r="I55" i="8"/>
  <c r="O16" i="11"/>
  <c r="L90" i="11" s="1"/>
  <c r="F34" i="11"/>
  <c r="N26" i="11"/>
  <c r="K53" i="8"/>
  <c r="G56" i="8"/>
  <c r="I86" i="11"/>
  <c r="H13" i="11"/>
  <c r="N42" i="11"/>
  <c r="C54" i="8"/>
  <c r="H56" i="8"/>
  <c r="K11" i="11"/>
  <c r="G89" i="11"/>
  <c r="D54" i="8"/>
  <c r="E54" i="8" s="1"/>
  <c r="I56" i="8"/>
  <c r="G54" i="8"/>
  <c r="J56" i="8"/>
  <c r="C37" i="8"/>
  <c r="J54" i="8"/>
  <c r="T13" i="11"/>
  <c r="H57" i="8"/>
  <c r="L55" i="8"/>
  <c r="F54" i="8"/>
  <c r="G57" i="8"/>
  <c r="K55" i="8"/>
  <c r="D57" i="8"/>
  <c r="E57" i="8" s="1"/>
  <c r="H55" i="8"/>
  <c r="L53" i="8"/>
  <c r="K57" i="8"/>
  <c r="I54" i="8"/>
  <c r="C53" i="8"/>
  <c r="J57" i="8"/>
  <c r="D56" i="8"/>
  <c r="E56" i="8" s="1"/>
  <c r="H54" i="8"/>
  <c r="K49" i="8"/>
  <c r="K54" i="8"/>
  <c r="L56" i="8"/>
  <c r="J89" i="11"/>
  <c r="M89" i="11"/>
  <c r="A49" i="8"/>
  <c r="E49" i="8" s="1"/>
  <c r="L54" i="8"/>
  <c r="C57" i="8"/>
  <c r="R34" i="11"/>
  <c r="C49" i="8"/>
  <c r="C55" i="8"/>
  <c r="E55" i="8" s="1"/>
  <c r="B87" i="11"/>
  <c r="F8" i="11"/>
  <c r="F18" i="11" s="1"/>
  <c r="D8" i="11"/>
  <c r="Q8" i="11"/>
  <c r="F52" i="11"/>
  <c r="I8" i="11"/>
  <c r="D88" i="11" s="1"/>
  <c r="D87" i="11"/>
  <c r="E41" i="8"/>
  <c r="D53" i="8"/>
  <c r="E53" i="8" s="1"/>
  <c r="I57" i="8"/>
  <c r="R50" i="11"/>
  <c r="F55" i="8"/>
  <c r="L57" i="8"/>
  <c r="G9" i="11"/>
  <c r="F9" i="11"/>
  <c r="E9" i="11"/>
  <c r="E18" i="11" s="1"/>
  <c r="D9" i="11"/>
  <c r="S9" i="11"/>
  <c r="Q9" i="11"/>
  <c r="N9" i="11"/>
  <c r="M9" i="11"/>
  <c r="L9" i="11"/>
  <c r="O9" i="11" s="1"/>
  <c r="E90" i="11" s="1"/>
  <c r="J9" i="11"/>
  <c r="S6" i="11"/>
  <c r="P7" i="11"/>
  <c r="C91" i="11" s="1"/>
  <c r="M8" i="11"/>
  <c r="O8" i="11" s="1"/>
  <c r="D90" i="11" s="1"/>
  <c r="T11" i="11"/>
  <c r="N13" i="11"/>
  <c r="R17" i="11"/>
  <c r="D6" i="11"/>
  <c r="Q7" i="11"/>
  <c r="N8" i="11"/>
  <c r="R12" i="11"/>
  <c r="L14" i="11"/>
  <c r="S17" i="11"/>
  <c r="R7" i="11"/>
  <c r="P13" i="11"/>
  <c r="I91" i="11" s="1"/>
  <c r="M14" i="11"/>
  <c r="D17" i="11"/>
  <c r="L86" i="11"/>
  <c r="H89" i="11"/>
  <c r="P8" i="11"/>
  <c r="D91" i="11" s="1"/>
  <c r="T12" i="11"/>
  <c r="Q13" i="11"/>
  <c r="N14" i="11"/>
  <c r="Q68" i="11"/>
  <c r="T7" i="11"/>
  <c r="R13" i="11"/>
  <c r="Q35" i="11"/>
  <c r="Q51" i="11"/>
  <c r="R68" i="11"/>
  <c r="R8" i="11"/>
  <c r="S13" i="11"/>
  <c r="P14" i="11"/>
  <c r="J91" i="11" s="1"/>
  <c r="Q66" i="11"/>
  <c r="R14" i="11"/>
  <c r="D14" i="11"/>
  <c r="M6" i="11"/>
  <c r="O6" i="11" s="1"/>
  <c r="J7" i="11"/>
  <c r="G8" i="11"/>
  <c r="N11" i="11"/>
  <c r="O11" i="11" s="1"/>
  <c r="G90" i="11" s="1"/>
  <c r="E14" i="11"/>
  <c r="R15" i="11"/>
  <c r="L17" i="11"/>
  <c r="N6" i="11"/>
  <c r="L12" i="11"/>
  <c r="O12" i="11" s="1"/>
  <c r="H90" i="11" s="1"/>
  <c r="I13" i="11"/>
  <c r="I88" i="11" s="1"/>
  <c r="F14" i="11"/>
  <c r="S15" i="11"/>
  <c r="P16" i="11"/>
  <c r="L91" i="11" s="1"/>
  <c r="M17" i="11"/>
  <c r="L7" i="11"/>
  <c r="O7" i="11" s="1"/>
  <c r="C90" i="11" s="1"/>
  <c r="S10" i="11"/>
  <c r="P11" i="11"/>
  <c r="G91" i="11" s="1"/>
  <c r="M12" i="11"/>
  <c r="J13" i="11"/>
  <c r="G14" i="11"/>
  <c r="D15" i="11"/>
  <c r="Q16" i="11"/>
  <c r="N17" i="11"/>
  <c r="P6" i="11"/>
  <c r="M7" i="11"/>
  <c r="J8" i="11"/>
  <c r="D10" i="11"/>
  <c r="I10" i="11" s="1"/>
  <c r="F88" i="11" s="1"/>
  <c r="Q11" i="11"/>
  <c r="N12" i="11"/>
  <c r="E15" i="11"/>
  <c r="R16" i="11"/>
  <c r="R18" i="11" s="1"/>
  <c r="Q6" i="11"/>
  <c r="L13" i="11"/>
  <c r="O13" i="11" s="1"/>
  <c r="I90" i="11" s="1"/>
  <c r="P17" i="11"/>
  <c r="M91" i="11" s="1"/>
  <c r="B90" i="11" l="1"/>
  <c r="K13" i="11"/>
  <c r="I89" i="11"/>
  <c r="H35" i="3"/>
  <c r="Q35" i="3"/>
  <c r="P35" i="3"/>
  <c r="O35" i="3"/>
  <c r="N35" i="3"/>
  <c r="M35" i="3"/>
  <c r="L35" i="3"/>
  <c r="K35" i="3"/>
  <c r="J35" i="3"/>
  <c r="I35" i="3"/>
  <c r="G35" i="3"/>
  <c r="F35" i="3"/>
  <c r="E35" i="3"/>
  <c r="D35" i="3"/>
  <c r="B35" i="3"/>
  <c r="C35" i="3"/>
  <c r="H6" i="3"/>
  <c r="G6" i="3"/>
  <c r="F6" i="3"/>
  <c r="E6" i="3"/>
  <c r="C6" i="3"/>
  <c r="B6" i="3"/>
  <c r="Q6" i="3"/>
  <c r="P6" i="3"/>
  <c r="M6" i="3"/>
  <c r="I6" i="3"/>
  <c r="D6" i="3"/>
  <c r="O6" i="3"/>
  <c r="K6" i="3"/>
  <c r="N6" i="3"/>
  <c r="L6" i="3"/>
  <c r="J6" i="3"/>
  <c r="K68" i="3"/>
  <c r="J68" i="3"/>
  <c r="H68" i="3"/>
  <c r="O68" i="3"/>
  <c r="D68" i="3"/>
  <c r="C68" i="3"/>
  <c r="B68" i="3"/>
  <c r="Q68" i="3"/>
  <c r="P68" i="3"/>
  <c r="N68" i="3"/>
  <c r="M68" i="3"/>
  <c r="L68" i="3"/>
  <c r="I68" i="3"/>
  <c r="E68" i="3"/>
  <c r="G68" i="3"/>
  <c r="F68" i="3"/>
  <c r="O39" i="5"/>
  <c r="N39" i="5"/>
  <c r="M39" i="5"/>
  <c r="L39" i="5"/>
  <c r="K39" i="5"/>
  <c r="J39" i="5"/>
  <c r="I39" i="5"/>
  <c r="G39" i="5"/>
  <c r="F39" i="5"/>
  <c r="P39" i="5"/>
  <c r="Q39" i="5"/>
  <c r="H39" i="5"/>
  <c r="E39" i="5"/>
  <c r="D39" i="5"/>
  <c r="C39" i="5"/>
  <c r="B39" i="5"/>
  <c r="K70" i="4"/>
  <c r="J70" i="4"/>
  <c r="I70" i="4"/>
  <c r="H70" i="4"/>
  <c r="F70" i="4"/>
  <c r="E70" i="4"/>
  <c r="N70" i="4"/>
  <c r="M70" i="4"/>
  <c r="L70" i="4"/>
  <c r="G70" i="4"/>
  <c r="D70" i="4"/>
  <c r="C70" i="4"/>
  <c r="O70" i="4"/>
  <c r="Q70" i="4"/>
  <c r="P70" i="4"/>
  <c r="B70" i="4"/>
  <c r="D58" i="3"/>
  <c r="C58" i="3"/>
  <c r="Q58" i="3"/>
  <c r="H58" i="3"/>
  <c r="B58" i="3"/>
  <c r="P58" i="3"/>
  <c r="O58" i="3"/>
  <c r="N58" i="3"/>
  <c r="M58" i="3"/>
  <c r="L58" i="3"/>
  <c r="K58" i="3"/>
  <c r="J58" i="3"/>
  <c r="I58" i="3"/>
  <c r="E58" i="3"/>
  <c r="G58" i="3"/>
  <c r="F58" i="3"/>
  <c r="P16" i="6"/>
  <c r="N16" i="6"/>
  <c r="M16" i="6"/>
  <c r="K16" i="6"/>
  <c r="J16" i="6"/>
  <c r="I16" i="6"/>
  <c r="Q16" i="6"/>
  <c r="O16" i="6"/>
  <c r="L16" i="6"/>
  <c r="H16" i="6"/>
  <c r="G16" i="6"/>
  <c r="F16" i="6"/>
  <c r="E16" i="6"/>
  <c r="D16" i="6"/>
  <c r="C16" i="6"/>
  <c r="B16" i="6"/>
  <c r="H5" i="6"/>
  <c r="C5" i="6"/>
  <c r="I5" i="6"/>
  <c r="G5" i="6"/>
  <c r="F5" i="6"/>
  <c r="E5" i="6"/>
  <c r="D5" i="6"/>
  <c r="B5" i="6"/>
  <c r="Q5" i="6"/>
  <c r="P5" i="6"/>
  <c r="O5" i="6"/>
  <c r="N5" i="6"/>
  <c r="M5" i="6"/>
  <c r="J5" i="6"/>
  <c r="L5" i="6"/>
  <c r="K5" i="6"/>
  <c r="B36" i="5"/>
  <c r="Q36" i="5"/>
  <c r="P36" i="5"/>
  <c r="O36" i="5"/>
  <c r="N36" i="5"/>
  <c r="M36" i="5"/>
  <c r="L36" i="5"/>
  <c r="J36" i="5"/>
  <c r="I36" i="5"/>
  <c r="K36" i="5"/>
  <c r="H36" i="5"/>
  <c r="G36" i="5"/>
  <c r="F36" i="5"/>
  <c r="C36" i="5"/>
  <c r="E36" i="5"/>
  <c r="D36" i="5"/>
  <c r="E65" i="6"/>
  <c r="B65" i="6"/>
  <c r="O65" i="6"/>
  <c r="N65" i="6"/>
  <c r="K65" i="6"/>
  <c r="J65" i="6"/>
  <c r="I65" i="6"/>
  <c r="H65" i="6"/>
  <c r="G65" i="6"/>
  <c r="F65" i="6"/>
  <c r="D65" i="6"/>
  <c r="C65" i="6"/>
  <c r="Q65" i="6"/>
  <c r="P65" i="6"/>
  <c r="J71" i="6" s="1"/>
  <c r="M65" i="6"/>
  <c r="L65" i="6"/>
  <c r="B68" i="6"/>
  <c r="P68" i="6"/>
  <c r="O68" i="6"/>
  <c r="L68" i="6"/>
  <c r="K68" i="6"/>
  <c r="F68" i="6"/>
  <c r="E68" i="6"/>
  <c r="D68" i="6"/>
  <c r="C68" i="6"/>
  <c r="Q68" i="6"/>
  <c r="N68" i="6"/>
  <c r="J68" i="6"/>
  <c r="M68" i="6"/>
  <c r="I68" i="6"/>
  <c r="H68" i="6"/>
  <c r="G68" i="6"/>
  <c r="K58" i="6"/>
  <c r="H58" i="6"/>
  <c r="E58" i="6"/>
  <c r="D58" i="6"/>
  <c r="Q58" i="6"/>
  <c r="P58" i="6"/>
  <c r="O58" i="6"/>
  <c r="N58" i="6"/>
  <c r="L58" i="6"/>
  <c r="J58" i="6"/>
  <c r="G58" i="6"/>
  <c r="B58" i="6"/>
  <c r="M58" i="6"/>
  <c r="C58" i="6"/>
  <c r="I58" i="6"/>
  <c r="F58" i="6"/>
  <c r="H28" i="7"/>
  <c r="Q28" i="7"/>
  <c r="O28" i="7"/>
  <c r="N28" i="7"/>
  <c r="K28" i="7"/>
  <c r="J28" i="7"/>
  <c r="D28" i="7"/>
  <c r="C28" i="7"/>
  <c r="B28" i="7"/>
  <c r="P28" i="7"/>
  <c r="M28" i="7"/>
  <c r="L28" i="7"/>
  <c r="I28" i="7"/>
  <c r="G28" i="7"/>
  <c r="F28" i="7"/>
  <c r="E28" i="7"/>
  <c r="E57" i="3"/>
  <c r="D57" i="3"/>
  <c r="B57" i="3"/>
  <c r="Q57" i="3"/>
  <c r="P57" i="3"/>
  <c r="O57" i="3"/>
  <c r="N57" i="3"/>
  <c r="M57" i="3"/>
  <c r="L57" i="3"/>
  <c r="K57" i="3"/>
  <c r="J57" i="3"/>
  <c r="I57" i="3"/>
  <c r="H57" i="3"/>
  <c r="G57" i="3"/>
  <c r="F57" i="3"/>
  <c r="C57" i="3"/>
  <c r="A27" i="3"/>
  <c r="A20" i="3"/>
  <c r="A18" i="3"/>
  <c r="A38" i="3"/>
  <c r="K87" i="11"/>
  <c r="I15" i="11"/>
  <c r="K88" i="11" s="1"/>
  <c r="L18" i="11"/>
  <c r="H14" i="11"/>
  <c r="T14" i="11"/>
  <c r="J86" i="11"/>
  <c r="D39" i="3"/>
  <c r="B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C39" i="3"/>
  <c r="M48" i="3"/>
  <c r="L48" i="3"/>
  <c r="J48" i="3"/>
  <c r="H48" i="3"/>
  <c r="G48" i="3"/>
  <c r="F48" i="3"/>
  <c r="E48" i="3"/>
  <c r="D48" i="3"/>
  <c r="C48" i="3"/>
  <c r="B48" i="3"/>
  <c r="Q48" i="3"/>
  <c r="P48" i="3"/>
  <c r="O48" i="3"/>
  <c r="I48" i="3"/>
  <c r="K48" i="3"/>
  <c r="N48" i="3"/>
  <c r="M29" i="3"/>
  <c r="C29" i="3"/>
  <c r="B29" i="3"/>
  <c r="Q29" i="3"/>
  <c r="P29" i="3"/>
  <c r="O29" i="3"/>
  <c r="N29" i="3"/>
  <c r="L29" i="3"/>
  <c r="K29" i="3"/>
  <c r="J29" i="3"/>
  <c r="I29" i="3"/>
  <c r="H29" i="3"/>
  <c r="G29" i="3"/>
  <c r="F29" i="3"/>
  <c r="E29" i="3"/>
  <c r="D29" i="3"/>
  <c r="G45" i="5"/>
  <c r="L45" i="5"/>
  <c r="K45" i="5"/>
  <c r="J45" i="5"/>
  <c r="I45" i="5"/>
  <c r="H45" i="5"/>
  <c r="F45" i="5"/>
  <c r="E45" i="5"/>
  <c r="C45" i="5"/>
  <c r="B45" i="5"/>
  <c r="M45" i="5"/>
  <c r="Q45" i="5"/>
  <c r="P45" i="5"/>
  <c r="J51" i="5" s="1"/>
  <c r="O45" i="5"/>
  <c r="N45" i="5"/>
  <c r="D45" i="5"/>
  <c r="N5" i="5"/>
  <c r="M5" i="5"/>
  <c r="L5" i="5"/>
  <c r="K5" i="5"/>
  <c r="I5" i="5"/>
  <c r="H5" i="5"/>
  <c r="G5" i="5"/>
  <c r="F5" i="5"/>
  <c r="E5" i="5"/>
  <c r="D5" i="5"/>
  <c r="C5" i="5"/>
  <c r="B5" i="5"/>
  <c r="Q5" i="5"/>
  <c r="J5" i="5"/>
  <c r="P5" i="5"/>
  <c r="O5" i="5"/>
  <c r="O66" i="4"/>
  <c r="N66" i="4"/>
  <c r="M66" i="4"/>
  <c r="L66" i="4"/>
  <c r="J66" i="4"/>
  <c r="I66" i="4"/>
  <c r="D66" i="4"/>
  <c r="C66" i="4"/>
  <c r="B66" i="4"/>
  <c r="Q66" i="4"/>
  <c r="P66" i="4"/>
  <c r="J71" i="4" s="1"/>
  <c r="H66" i="4"/>
  <c r="E66" i="4"/>
  <c r="K66" i="4"/>
  <c r="G66" i="4"/>
  <c r="F66" i="4"/>
  <c r="N60" i="5"/>
  <c r="I60" i="5"/>
  <c r="O60" i="5"/>
  <c r="M60" i="5"/>
  <c r="L60" i="5"/>
  <c r="K60" i="5"/>
  <c r="J60" i="5"/>
  <c r="H60" i="5"/>
  <c r="G60" i="5"/>
  <c r="F60" i="5"/>
  <c r="E60" i="5"/>
  <c r="D60" i="5"/>
  <c r="C60" i="5"/>
  <c r="P60" i="5"/>
  <c r="Q60" i="5"/>
  <c r="B60" i="5"/>
  <c r="C10" i="6"/>
  <c r="B10" i="6"/>
  <c r="P10" i="6"/>
  <c r="O10" i="6"/>
  <c r="N10" i="6"/>
  <c r="I10" i="6"/>
  <c r="H10" i="6"/>
  <c r="G10" i="6"/>
  <c r="F10" i="6"/>
  <c r="E10" i="6"/>
  <c r="D10" i="6"/>
  <c r="Q10" i="6"/>
  <c r="M10" i="6"/>
  <c r="J10" i="6"/>
  <c r="L10" i="6"/>
  <c r="K10" i="6"/>
  <c r="F28" i="6"/>
  <c r="O28" i="6"/>
  <c r="M28" i="6"/>
  <c r="L28" i="6"/>
  <c r="K28" i="6"/>
  <c r="J28" i="6"/>
  <c r="H28" i="6"/>
  <c r="G28" i="6"/>
  <c r="E28" i="6"/>
  <c r="C28" i="6"/>
  <c r="B28" i="6"/>
  <c r="D28" i="6"/>
  <c r="Q28" i="6"/>
  <c r="I28" i="6"/>
  <c r="P28" i="6"/>
  <c r="N28" i="6"/>
  <c r="J8" i="7"/>
  <c r="E8" i="7"/>
  <c r="C8" i="7"/>
  <c r="B8" i="7"/>
  <c r="P8" i="7"/>
  <c r="O8" i="7"/>
  <c r="M8" i="7"/>
  <c r="L8" i="7"/>
  <c r="K8" i="7"/>
  <c r="I8" i="7"/>
  <c r="H8" i="7"/>
  <c r="G8" i="7"/>
  <c r="F8" i="7"/>
  <c r="D8" i="7"/>
  <c r="Q8" i="7"/>
  <c r="N8" i="7"/>
  <c r="H46" i="7"/>
  <c r="M46" i="7"/>
  <c r="L46" i="7"/>
  <c r="J46" i="7"/>
  <c r="I46" i="7"/>
  <c r="E46" i="7"/>
  <c r="D46" i="7"/>
  <c r="B46" i="7"/>
  <c r="O46" i="7"/>
  <c r="K46" i="7"/>
  <c r="G46" i="7"/>
  <c r="F46" i="7"/>
  <c r="C46" i="7"/>
  <c r="N46" i="7"/>
  <c r="Q46" i="7"/>
  <c r="P46" i="7"/>
  <c r="B17" i="7"/>
  <c r="C17" i="7"/>
  <c r="Q17" i="7"/>
  <c r="P17" i="7"/>
  <c r="M17" i="7"/>
  <c r="L17" i="7"/>
  <c r="O17" i="7"/>
  <c r="N17" i="7"/>
  <c r="K17" i="7"/>
  <c r="J17" i="7"/>
  <c r="I17" i="7"/>
  <c r="H17" i="7"/>
  <c r="G17" i="7"/>
  <c r="F17" i="7"/>
  <c r="E17" i="7"/>
  <c r="D17" i="7"/>
  <c r="G29" i="7"/>
  <c r="Q29" i="7"/>
  <c r="O29" i="7"/>
  <c r="N29" i="7"/>
  <c r="K29" i="7"/>
  <c r="J29" i="7"/>
  <c r="M29" i="7"/>
  <c r="L29" i="7"/>
  <c r="I29" i="7"/>
  <c r="H29" i="7"/>
  <c r="F29" i="7"/>
  <c r="E29" i="7"/>
  <c r="D29" i="7"/>
  <c r="C29" i="7"/>
  <c r="B29" i="7"/>
  <c r="P29" i="7"/>
  <c r="E9" i="3"/>
  <c r="D9" i="3"/>
  <c r="C9" i="3"/>
  <c r="B9" i="3"/>
  <c r="P9" i="3"/>
  <c r="O9" i="3"/>
  <c r="N9" i="3"/>
  <c r="M9" i="3"/>
  <c r="J9" i="3"/>
  <c r="L9" i="3"/>
  <c r="K9" i="3"/>
  <c r="I9" i="3"/>
  <c r="G9" i="3"/>
  <c r="F9" i="3"/>
  <c r="H9" i="3"/>
  <c r="Q9" i="3"/>
  <c r="S18" i="11"/>
  <c r="G28" i="4"/>
  <c r="F28" i="4"/>
  <c r="E28" i="4"/>
  <c r="D28" i="4"/>
  <c r="C28" i="4"/>
  <c r="B28" i="4"/>
  <c r="P28" i="4"/>
  <c r="O28" i="4"/>
  <c r="N28" i="4"/>
  <c r="M28" i="4"/>
  <c r="K28" i="4"/>
  <c r="Q28" i="4"/>
  <c r="L28" i="4"/>
  <c r="J28" i="4"/>
  <c r="I28" i="4"/>
  <c r="H28" i="4"/>
  <c r="H9" i="4"/>
  <c r="G9" i="4"/>
  <c r="E9" i="4"/>
  <c r="D9" i="4"/>
  <c r="P9" i="4"/>
  <c r="N9" i="4"/>
  <c r="L9" i="4"/>
  <c r="M9" i="4"/>
  <c r="K9" i="4"/>
  <c r="J9" i="4"/>
  <c r="I9" i="4"/>
  <c r="F9" i="4"/>
  <c r="C9" i="4"/>
  <c r="B9" i="4"/>
  <c r="O9" i="4"/>
  <c r="Q9" i="4"/>
  <c r="L30" i="3"/>
  <c r="C30" i="3"/>
  <c r="B30" i="3"/>
  <c r="Q30" i="3"/>
  <c r="P30" i="3"/>
  <c r="O30" i="3"/>
  <c r="N30" i="3"/>
  <c r="M30" i="3"/>
  <c r="K30" i="3"/>
  <c r="J30" i="3"/>
  <c r="I30" i="3"/>
  <c r="H30" i="3"/>
  <c r="G30" i="3"/>
  <c r="F30" i="3"/>
  <c r="E30" i="3"/>
  <c r="D30" i="3"/>
  <c r="D48" i="5"/>
  <c r="L48" i="5"/>
  <c r="K48" i="5"/>
  <c r="J48" i="5"/>
  <c r="I48" i="5"/>
  <c r="H48" i="5"/>
  <c r="G48" i="5"/>
  <c r="F48" i="5"/>
  <c r="E48" i="5"/>
  <c r="C48" i="5"/>
  <c r="B48" i="5"/>
  <c r="M48" i="5"/>
  <c r="Q48" i="5"/>
  <c r="P48" i="5"/>
  <c r="O48" i="5"/>
  <c r="N48" i="5"/>
  <c r="P20" i="5"/>
  <c r="O20" i="5"/>
  <c r="N20" i="5"/>
  <c r="M20" i="5"/>
  <c r="L20" i="5"/>
  <c r="K20" i="5"/>
  <c r="J20" i="5"/>
  <c r="G20" i="5"/>
  <c r="F20" i="5"/>
  <c r="E20" i="5"/>
  <c r="D20" i="5"/>
  <c r="C20" i="5"/>
  <c r="B20" i="5"/>
  <c r="H20" i="5"/>
  <c r="Q20" i="5"/>
  <c r="I20" i="5"/>
  <c r="C15" i="4"/>
  <c r="B15" i="4"/>
  <c r="Q15" i="4"/>
  <c r="P15" i="4"/>
  <c r="O15" i="4"/>
  <c r="K15" i="4"/>
  <c r="I15" i="4"/>
  <c r="G15" i="4"/>
  <c r="F15" i="4"/>
  <c r="J21" i="4"/>
  <c r="E15" i="4"/>
  <c r="D15" i="4"/>
  <c r="N15" i="4"/>
  <c r="M15" i="4"/>
  <c r="H15" i="4"/>
  <c r="L15" i="4"/>
  <c r="J15" i="4"/>
  <c r="H67" i="5"/>
  <c r="C67" i="5"/>
  <c r="O67" i="5"/>
  <c r="N67" i="5"/>
  <c r="M67" i="5"/>
  <c r="L67" i="5"/>
  <c r="K67" i="5"/>
  <c r="J67" i="5"/>
  <c r="I67" i="5"/>
  <c r="G67" i="5"/>
  <c r="F67" i="5"/>
  <c r="E67" i="5"/>
  <c r="D67" i="5"/>
  <c r="B67" i="5"/>
  <c r="P67" i="5"/>
  <c r="Q67" i="5"/>
  <c r="F58" i="4"/>
  <c r="E58" i="4"/>
  <c r="D58" i="4"/>
  <c r="Q58" i="4"/>
  <c r="P58" i="4"/>
  <c r="O58" i="4"/>
  <c r="M58" i="4"/>
  <c r="L58" i="4"/>
  <c r="K58" i="4"/>
  <c r="J58" i="4"/>
  <c r="H58" i="4"/>
  <c r="B58" i="4"/>
  <c r="I58" i="4"/>
  <c r="G58" i="4"/>
  <c r="C58" i="4"/>
  <c r="N58" i="4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B19" i="5"/>
  <c r="D19" i="5"/>
  <c r="C19" i="5"/>
  <c r="J26" i="7"/>
  <c r="Q26" i="7"/>
  <c r="O26" i="7"/>
  <c r="N26" i="7"/>
  <c r="K26" i="7"/>
  <c r="I26" i="7"/>
  <c r="L26" i="7"/>
  <c r="H26" i="7"/>
  <c r="G26" i="7"/>
  <c r="F26" i="7"/>
  <c r="E26" i="7"/>
  <c r="D26" i="7"/>
  <c r="C26" i="7"/>
  <c r="B26" i="7"/>
  <c r="M26" i="7"/>
  <c r="P26" i="7"/>
  <c r="F48" i="7"/>
  <c r="M48" i="7"/>
  <c r="L48" i="7"/>
  <c r="J48" i="7"/>
  <c r="I48" i="7"/>
  <c r="E48" i="7"/>
  <c r="D48" i="7"/>
  <c r="B48" i="7"/>
  <c r="O48" i="7"/>
  <c r="K48" i="7"/>
  <c r="H48" i="7"/>
  <c r="G48" i="7"/>
  <c r="C48" i="7"/>
  <c r="N48" i="7"/>
  <c r="Q48" i="7"/>
  <c r="P48" i="7"/>
  <c r="O38" i="7"/>
  <c r="P38" i="7"/>
  <c r="N38" i="7"/>
  <c r="L38" i="7"/>
  <c r="K38" i="7"/>
  <c r="H38" i="7"/>
  <c r="G38" i="7"/>
  <c r="E38" i="7"/>
  <c r="M38" i="7"/>
  <c r="J38" i="7"/>
  <c r="I38" i="7"/>
  <c r="F38" i="7"/>
  <c r="D38" i="7"/>
  <c r="C38" i="7"/>
  <c r="B38" i="7"/>
  <c r="Q38" i="7"/>
  <c r="F30" i="7"/>
  <c r="Q30" i="7"/>
  <c r="O30" i="7"/>
  <c r="N30" i="7"/>
  <c r="K30" i="7"/>
  <c r="J30" i="7"/>
  <c r="P30" i="7"/>
  <c r="M30" i="7"/>
  <c r="L30" i="7"/>
  <c r="I30" i="7"/>
  <c r="H30" i="7"/>
  <c r="G30" i="7"/>
  <c r="E30" i="7"/>
  <c r="D30" i="7"/>
  <c r="C30" i="7"/>
  <c r="B30" i="7"/>
  <c r="A9" i="8"/>
  <c r="J18" i="11"/>
  <c r="I17" i="11"/>
  <c r="M88" i="11" s="1"/>
  <c r="M86" i="11"/>
  <c r="T17" i="11"/>
  <c r="H17" i="11"/>
  <c r="E89" i="11"/>
  <c r="K9" i="11"/>
  <c r="G46" i="4"/>
  <c r="F46" i="4"/>
  <c r="E46" i="4"/>
  <c r="D46" i="4"/>
  <c r="C46" i="4"/>
  <c r="B46" i="4"/>
  <c r="P46" i="4"/>
  <c r="O46" i="4"/>
  <c r="N46" i="4"/>
  <c r="M46" i="4"/>
  <c r="K46" i="4"/>
  <c r="H46" i="4"/>
  <c r="Q46" i="4"/>
  <c r="L46" i="4"/>
  <c r="J46" i="4"/>
  <c r="I46" i="4"/>
  <c r="O48" i="4"/>
  <c r="M48" i="4"/>
  <c r="G48" i="4"/>
  <c r="F48" i="4"/>
  <c r="E48" i="4"/>
  <c r="D48" i="4"/>
  <c r="C48" i="4"/>
  <c r="B48" i="4"/>
  <c r="Q48" i="4"/>
  <c r="P48" i="4"/>
  <c r="N48" i="4"/>
  <c r="K48" i="4"/>
  <c r="H48" i="4"/>
  <c r="L48" i="4"/>
  <c r="J48" i="4"/>
  <c r="I48" i="4"/>
  <c r="M19" i="6"/>
  <c r="K19" i="6"/>
  <c r="J19" i="6"/>
  <c r="H19" i="6"/>
  <c r="G19" i="6"/>
  <c r="F19" i="6"/>
  <c r="Q19" i="6"/>
  <c r="P19" i="6"/>
  <c r="O19" i="6"/>
  <c r="N19" i="6"/>
  <c r="L19" i="6"/>
  <c r="I19" i="6"/>
  <c r="E19" i="6"/>
  <c r="D19" i="6"/>
  <c r="C19" i="6"/>
  <c r="B19" i="6"/>
  <c r="K6" i="4"/>
  <c r="J6" i="4"/>
  <c r="H6" i="4"/>
  <c r="Q6" i="4"/>
  <c r="O6" i="4"/>
  <c r="L6" i="4"/>
  <c r="I6" i="4"/>
  <c r="G6" i="4"/>
  <c r="F6" i="4"/>
  <c r="E6" i="4"/>
  <c r="D6" i="4"/>
  <c r="C6" i="4"/>
  <c r="B6" i="4"/>
  <c r="M6" i="4"/>
  <c r="N6" i="4"/>
  <c r="P6" i="4"/>
  <c r="J11" i="4" s="1"/>
  <c r="H29" i="5"/>
  <c r="G29" i="5"/>
  <c r="F29" i="5"/>
  <c r="E29" i="5"/>
  <c r="D29" i="5"/>
  <c r="C29" i="5"/>
  <c r="B29" i="5"/>
  <c r="O29" i="5"/>
  <c r="N29" i="5"/>
  <c r="M29" i="5"/>
  <c r="L29" i="5"/>
  <c r="K29" i="5"/>
  <c r="J29" i="5"/>
  <c r="I29" i="5"/>
  <c r="P29" i="5"/>
  <c r="Q29" i="5"/>
  <c r="L69" i="4"/>
  <c r="K69" i="4"/>
  <c r="J69" i="4"/>
  <c r="I69" i="4"/>
  <c r="G69" i="4"/>
  <c r="F69" i="4"/>
  <c r="C69" i="4"/>
  <c r="B69" i="4"/>
  <c r="Q69" i="4"/>
  <c r="P69" i="4"/>
  <c r="O69" i="4"/>
  <c r="M69" i="4"/>
  <c r="D69" i="4"/>
  <c r="N69" i="4"/>
  <c r="H69" i="4"/>
  <c r="E69" i="4"/>
  <c r="E29" i="6"/>
  <c r="N29" i="6"/>
  <c r="O29" i="6"/>
  <c r="M29" i="6"/>
  <c r="L29" i="6"/>
  <c r="K29" i="6"/>
  <c r="I29" i="6"/>
  <c r="H29" i="6"/>
  <c r="G29" i="6"/>
  <c r="D29" i="6"/>
  <c r="C29" i="6"/>
  <c r="Q29" i="6"/>
  <c r="P29" i="6"/>
  <c r="J29" i="6"/>
  <c r="F29" i="6"/>
  <c r="B29" i="6"/>
  <c r="D30" i="6"/>
  <c r="M30" i="6"/>
  <c r="P30" i="6"/>
  <c r="O30" i="6"/>
  <c r="N30" i="6"/>
  <c r="L30" i="6"/>
  <c r="J30" i="6"/>
  <c r="I30" i="6"/>
  <c r="H30" i="6"/>
  <c r="F30" i="6"/>
  <c r="E30" i="6"/>
  <c r="Q30" i="6"/>
  <c r="K30" i="6"/>
  <c r="G30" i="6"/>
  <c r="C30" i="6"/>
  <c r="B30" i="6"/>
  <c r="Q37" i="5"/>
  <c r="P37" i="5"/>
  <c r="O37" i="5"/>
  <c r="N37" i="5"/>
  <c r="M37" i="5"/>
  <c r="L37" i="5"/>
  <c r="K37" i="5"/>
  <c r="I37" i="5"/>
  <c r="H37" i="5"/>
  <c r="J37" i="5"/>
  <c r="G37" i="5"/>
  <c r="F37" i="5"/>
  <c r="E37" i="5"/>
  <c r="D37" i="5"/>
  <c r="C37" i="5"/>
  <c r="B37" i="5"/>
  <c r="M58" i="7"/>
  <c r="J58" i="7"/>
  <c r="I58" i="7"/>
  <c r="G58" i="7"/>
  <c r="F58" i="7"/>
  <c r="E58" i="7"/>
  <c r="C58" i="7"/>
  <c r="B58" i="7"/>
  <c r="Q58" i="7"/>
  <c r="L58" i="7"/>
  <c r="P58" i="7"/>
  <c r="O58" i="7"/>
  <c r="N58" i="7"/>
  <c r="K58" i="7"/>
  <c r="H58" i="7"/>
  <c r="D58" i="7"/>
  <c r="D48" i="6"/>
  <c r="M48" i="6"/>
  <c r="E48" i="6"/>
  <c r="C48" i="6"/>
  <c r="B48" i="6"/>
  <c r="Q48" i="6"/>
  <c r="P48" i="6"/>
  <c r="O48" i="6"/>
  <c r="L48" i="6"/>
  <c r="K48" i="6"/>
  <c r="I48" i="6"/>
  <c r="N48" i="6"/>
  <c r="J48" i="6"/>
  <c r="H48" i="6"/>
  <c r="G48" i="6"/>
  <c r="F48" i="6"/>
  <c r="N39" i="7"/>
  <c r="P39" i="7"/>
  <c r="O39" i="7"/>
  <c r="L39" i="7"/>
  <c r="K39" i="7"/>
  <c r="H39" i="7"/>
  <c r="G39" i="7"/>
  <c r="E39" i="7"/>
  <c r="Q39" i="7"/>
  <c r="M39" i="7"/>
  <c r="J39" i="7"/>
  <c r="I39" i="7"/>
  <c r="F39" i="7"/>
  <c r="D39" i="7"/>
  <c r="C39" i="7"/>
  <c r="B39" i="7"/>
  <c r="Q18" i="7"/>
  <c r="C18" i="7"/>
  <c r="P18" i="7"/>
  <c r="M18" i="7"/>
  <c r="L18" i="7"/>
  <c r="H18" i="7"/>
  <c r="G18" i="7"/>
  <c r="F18" i="7"/>
  <c r="E18" i="7"/>
  <c r="D18" i="7"/>
  <c r="B18" i="7"/>
  <c r="O18" i="7"/>
  <c r="N18" i="7"/>
  <c r="K18" i="7"/>
  <c r="J18" i="7"/>
  <c r="I18" i="7"/>
  <c r="F37" i="3"/>
  <c r="Q37" i="3"/>
  <c r="P37" i="3"/>
  <c r="O37" i="3"/>
  <c r="N37" i="3"/>
  <c r="M37" i="3"/>
  <c r="L37" i="3"/>
  <c r="K37" i="3"/>
  <c r="J37" i="3"/>
  <c r="I37" i="3"/>
  <c r="H37" i="3"/>
  <c r="G37" i="3"/>
  <c r="E37" i="3"/>
  <c r="D37" i="3"/>
  <c r="C37" i="3"/>
  <c r="B37" i="3"/>
  <c r="L5" i="4"/>
  <c r="K5" i="4"/>
  <c r="I5" i="4"/>
  <c r="P5" i="4"/>
  <c r="E5" i="4"/>
  <c r="D5" i="4"/>
  <c r="C5" i="4"/>
  <c r="B5" i="4"/>
  <c r="Q5" i="4"/>
  <c r="O5" i="4"/>
  <c r="N5" i="4"/>
  <c r="M5" i="4"/>
  <c r="J5" i="4"/>
  <c r="F5" i="4"/>
  <c r="H5" i="4"/>
  <c r="G5" i="4"/>
  <c r="F56" i="3"/>
  <c r="E56" i="3"/>
  <c r="C56" i="3"/>
  <c r="P56" i="3"/>
  <c r="O56" i="3"/>
  <c r="N56" i="3"/>
  <c r="M56" i="3"/>
  <c r="L56" i="3"/>
  <c r="K56" i="3"/>
  <c r="J56" i="3"/>
  <c r="I56" i="3"/>
  <c r="H56" i="3"/>
  <c r="G56" i="3"/>
  <c r="D56" i="3"/>
  <c r="B56" i="3"/>
  <c r="Q56" i="3"/>
  <c r="J9" i="5"/>
  <c r="I9" i="5"/>
  <c r="H9" i="5"/>
  <c r="G9" i="5"/>
  <c r="E9" i="5"/>
  <c r="D9" i="5"/>
  <c r="Q9" i="5"/>
  <c r="P9" i="5"/>
  <c r="O9" i="5"/>
  <c r="N9" i="5"/>
  <c r="M9" i="5"/>
  <c r="L9" i="5"/>
  <c r="K9" i="5"/>
  <c r="F9" i="5"/>
  <c r="C9" i="5"/>
  <c r="B9" i="5"/>
  <c r="C49" i="5"/>
  <c r="L49" i="5"/>
  <c r="K49" i="5"/>
  <c r="J49" i="5"/>
  <c r="I49" i="5"/>
  <c r="H49" i="5"/>
  <c r="G49" i="5"/>
  <c r="F49" i="5"/>
  <c r="E49" i="5"/>
  <c r="D49" i="5"/>
  <c r="B49" i="5"/>
  <c r="M49" i="5"/>
  <c r="Q49" i="5"/>
  <c r="P49" i="5"/>
  <c r="O49" i="5"/>
  <c r="N49" i="5"/>
  <c r="G68" i="5"/>
  <c r="B68" i="5"/>
  <c r="P68" i="5"/>
  <c r="O68" i="5"/>
  <c r="N68" i="5"/>
  <c r="M68" i="5"/>
  <c r="L68" i="5"/>
  <c r="K68" i="5"/>
  <c r="J68" i="5"/>
  <c r="I68" i="5"/>
  <c r="H68" i="5"/>
  <c r="F68" i="5"/>
  <c r="E68" i="5"/>
  <c r="D68" i="5"/>
  <c r="C68" i="5"/>
  <c r="Q68" i="5"/>
  <c r="P58" i="5"/>
  <c r="K58" i="5"/>
  <c r="L58" i="5"/>
  <c r="J58" i="5"/>
  <c r="I58" i="5"/>
  <c r="H58" i="5"/>
  <c r="G58" i="5"/>
  <c r="F58" i="5"/>
  <c r="E58" i="5"/>
  <c r="D58" i="5"/>
  <c r="C58" i="5"/>
  <c r="B58" i="5"/>
  <c r="Q58" i="5"/>
  <c r="M58" i="5"/>
  <c r="O58" i="5"/>
  <c r="N58" i="5"/>
  <c r="E15" i="5"/>
  <c r="D15" i="5"/>
  <c r="C15" i="5"/>
  <c r="B15" i="5"/>
  <c r="Q15" i="5"/>
  <c r="P15" i="5"/>
  <c r="J21" i="5" s="1"/>
  <c r="O15" i="5"/>
  <c r="I15" i="5"/>
  <c r="H15" i="5"/>
  <c r="G15" i="5"/>
  <c r="F15" i="5"/>
  <c r="N15" i="5"/>
  <c r="M15" i="5"/>
  <c r="J15" i="5"/>
  <c r="K15" i="5"/>
  <c r="L15" i="5"/>
  <c r="E70" i="5"/>
  <c r="P70" i="5"/>
  <c r="Q70" i="5"/>
  <c r="O70" i="5"/>
  <c r="N70" i="5"/>
  <c r="M70" i="5"/>
  <c r="L70" i="5"/>
  <c r="K70" i="5"/>
  <c r="J70" i="5"/>
  <c r="I70" i="5"/>
  <c r="H70" i="5"/>
  <c r="G70" i="5"/>
  <c r="F70" i="5"/>
  <c r="B70" i="5"/>
  <c r="C70" i="5"/>
  <c r="D70" i="5"/>
  <c r="F69" i="5"/>
  <c r="Q69" i="5"/>
  <c r="P69" i="5"/>
  <c r="O69" i="5"/>
  <c r="N69" i="5"/>
  <c r="M69" i="5"/>
  <c r="L69" i="5"/>
  <c r="K69" i="5"/>
  <c r="J69" i="5"/>
  <c r="I69" i="5"/>
  <c r="H69" i="5"/>
  <c r="G69" i="5"/>
  <c r="E69" i="5"/>
  <c r="D69" i="5"/>
  <c r="C69" i="5"/>
  <c r="B69" i="5"/>
  <c r="J59" i="6"/>
  <c r="G59" i="6"/>
  <c r="D59" i="6"/>
  <c r="C59" i="6"/>
  <c r="F59" i="6"/>
  <c r="E59" i="6"/>
  <c r="B59" i="6"/>
  <c r="Q59" i="6"/>
  <c r="O59" i="6"/>
  <c r="N59" i="6"/>
  <c r="L59" i="6"/>
  <c r="P59" i="6"/>
  <c r="M59" i="6"/>
  <c r="K59" i="6"/>
  <c r="I59" i="6"/>
  <c r="H59" i="6"/>
  <c r="M40" i="7"/>
  <c r="P40" i="7"/>
  <c r="O40" i="7"/>
  <c r="L40" i="7"/>
  <c r="K40" i="7"/>
  <c r="H40" i="7"/>
  <c r="G40" i="7"/>
  <c r="E40" i="7"/>
  <c r="N40" i="7"/>
  <c r="J40" i="7"/>
  <c r="I40" i="7"/>
  <c r="F40" i="7"/>
  <c r="D40" i="7"/>
  <c r="C40" i="7"/>
  <c r="B40" i="7"/>
  <c r="Q40" i="7"/>
  <c r="Q36" i="7"/>
  <c r="O36" i="7"/>
  <c r="N36" i="7"/>
  <c r="L36" i="7"/>
  <c r="K36" i="7"/>
  <c r="H36" i="7"/>
  <c r="G36" i="7"/>
  <c r="P36" i="7"/>
  <c r="M36" i="7"/>
  <c r="J36" i="7"/>
  <c r="I36" i="7"/>
  <c r="F36" i="7"/>
  <c r="E36" i="7"/>
  <c r="D36" i="7"/>
  <c r="C36" i="7"/>
  <c r="B36" i="7"/>
  <c r="G36" i="3"/>
  <c r="Q36" i="3"/>
  <c r="P36" i="3"/>
  <c r="O36" i="3"/>
  <c r="N36" i="3"/>
  <c r="M36" i="3"/>
  <c r="L36" i="3"/>
  <c r="K36" i="3"/>
  <c r="J36" i="3"/>
  <c r="I36" i="3"/>
  <c r="H36" i="3"/>
  <c r="F36" i="3"/>
  <c r="E36" i="3"/>
  <c r="D36" i="3"/>
  <c r="C36" i="3"/>
  <c r="B36" i="3"/>
  <c r="H27" i="4"/>
  <c r="G27" i="4"/>
  <c r="F27" i="4"/>
  <c r="E27" i="4"/>
  <c r="D27" i="4"/>
  <c r="C27" i="4"/>
  <c r="Q27" i="4"/>
  <c r="P27" i="4"/>
  <c r="O27" i="4"/>
  <c r="N27" i="4"/>
  <c r="L27" i="4"/>
  <c r="M27" i="4"/>
  <c r="K27" i="4"/>
  <c r="J27" i="4"/>
  <c r="I27" i="4"/>
  <c r="B27" i="4"/>
  <c r="P45" i="3"/>
  <c r="O45" i="3"/>
  <c r="M45" i="3"/>
  <c r="B45" i="3"/>
  <c r="Q45" i="3"/>
  <c r="N45" i="3"/>
  <c r="L45" i="3"/>
  <c r="K45" i="3"/>
  <c r="J45" i="3"/>
  <c r="I45" i="3"/>
  <c r="H45" i="3"/>
  <c r="G45" i="3"/>
  <c r="F45" i="3"/>
  <c r="C45" i="3"/>
  <c r="E45" i="3"/>
  <c r="D45" i="3"/>
  <c r="D89" i="11"/>
  <c r="K8" i="11"/>
  <c r="K17" i="11"/>
  <c r="J7" i="4"/>
  <c r="I7" i="4"/>
  <c r="G7" i="4"/>
  <c r="P7" i="4"/>
  <c r="N7" i="4"/>
  <c r="Q7" i="4"/>
  <c r="O7" i="4"/>
  <c r="M7" i="4"/>
  <c r="L7" i="4"/>
  <c r="K7" i="4"/>
  <c r="H7" i="4"/>
  <c r="F7" i="4"/>
  <c r="E7" i="4"/>
  <c r="D7" i="4"/>
  <c r="C7" i="4"/>
  <c r="B7" i="4"/>
  <c r="G25" i="3"/>
  <c r="F25" i="3"/>
  <c r="E25" i="3"/>
  <c r="D25" i="3"/>
  <c r="B25" i="3"/>
  <c r="Q25" i="3"/>
  <c r="P25" i="3"/>
  <c r="O25" i="3"/>
  <c r="N25" i="3"/>
  <c r="M25" i="3"/>
  <c r="L25" i="3"/>
  <c r="K25" i="3"/>
  <c r="J25" i="3"/>
  <c r="I25" i="3"/>
  <c r="H25" i="3"/>
  <c r="C25" i="3"/>
  <c r="O19" i="4"/>
  <c r="N19" i="4"/>
  <c r="M19" i="4"/>
  <c r="L19" i="4"/>
  <c r="K19" i="4"/>
  <c r="J19" i="4"/>
  <c r="G19" i="4"/>
  <c r="E19" i="4"/>
  <c r="C19" i="4"/>
  <c r="B19" i="4"/>
  <c r="Q19" i="4"/>
  <c r="P19" i="4"/>
  <c r="I19" i="4"/>
  <c r="D19" i="4"/>
  <c r="H19" i="4"/>
  <c r="F19" i="4"/>
  <c r="J25" i="4"/>
  <c r="I25" i="4"/>
  <c r="H25" i="4"/>
  <c r="G25" i="4"/>
  <c r="F25" i="4"/>
  <c r="E25" i="4"/>
  <c r="B25" i="4"/>
  <c r="Q25" i="4"/>
  <c r="P25" i="4"/>
  <c r="J31" i="4" s="1"/>
  <c r="N25" i="4"/>
  <c r="C25" i="4"/>
  <c r="O25" i="4"/>
  <c r="M25" i="4"/>
  <c r="D25" i="4"/>
  <c r="L25" i="4"/>
  <c r="K25" i="4"/>
  <c r="I66" i="5"/>
  <c r="D66" i="5"/>
  <c r="N66" i="5"/>
  <c r="M66" i="5"/>
  <c r="L66" i="5"/>
  <c r="K66" i="5"/>
  <c r="J66" i="5"/>
  <c r="H66" i="5"/>
  <c r="G66" i="5"/>
  <c r="F66" i="5"/>
  <c r="E66" i="5"/>
  <c r="C66" i="5"/>
  <c r="B66" i="5"/>
  <c r="O66" i="5"/>
  <c r="Q66" i="5"/>
  <c r="P66" i="5"/>
  <c r="M38" i="6"/>
  <c r="F38" i="6"/>
  <c r="Q38" i="6"/>
  <c r="P38" i="6"/>
  <c r="O38" i="6"/>
  <c r="L38" i="6"/>
  <c r="K38" i="6"/>
  <c r="J38" i="6"/>
  <c r="H38" i="6"/>
  <c r="G38" i="6"/>
  <c r="D38" i="6"/>
  <c r="N38" i="6"/>
  <c r="I38" i="6"/>
  <c r="E38" i="6"/>
  <c r="C38" i="6"/>
  <c r="B38" i="6"/>
  <c r="J65" i="5"/>
  <c r="E65" i="5"/>
  <c r="J71" i="5"/>
  <c r="M65" i="5"/>
  <c r="L65" i="5"/>
  <c r="K65" i="5"/>
  <c r="I65" i="5"/>
  <c r="H65" i="5"/>
  <c r="G65" i="5"/>
  <c r="F65" i="5"/>
  <c r="D65" i="5"/>
  <c r="C65" i="5"/>
  <c r="B65" i="5"/>
  <c r="Q65" i="5"/>
  <c r="N65" i="5"/>
  <c r="P65" i="5"/>
  <c r="O65" i="5"/>
  <c r="O17" i="6"/>
  <c r="M17" i="6"/>
  <c r="L17" i="6"/>
  <c r="J17" i="6"/>
  <c r="I17" i="6"/>
  <c r="H17" i="6"/>
  <c r="E17" i="6"/>
  <c r="D17" i="6"/>
  <c r="C17" i="6"/>
  <c r="B17" i="6"/>
  <c r="Q17" i="6"/>
  <c r="P17" i="6"/>
  <c r="N17" i="6"/>
  <c r="F17" i="6"/>
  <c r="G17" i="6"/>
  <c r="K17" i="6"/>
  <c r="P37" i="7"/>
  <c r="O37" i="7"/>
  <c r="N37" i="7"/>
  <c r="L37" i="7"/>
  <c r="K37" i="7"/>
  <c r="H37" i="7"/>
  <c r="G37" i="7"/>
  <c r="E37" i="7"/>
  <c r="Q37" i="7"/>
  <c r="M37" i="7"/>
  <c r="J37" i="7"/>
  <c r="I37" i="7"/>
  <c r="F37" i="7"/>
  <c r="D37" i="7"/>
  <c r="C37" i="7"/>
  <c r="B37" i="7"/>
  <c r="F7" i="6"/>
  <c r="C7" i="6"/>
  <c r="Q7" i="6"/>
  <c r="M7" i="6"/>
  <c r="L7" i="6"/>
  <c r="K7" i="6"/>
  <c r="J7" i="6"/>
  <c r="I7" i="6"/>
  <c r="H7" i="6"/>
  <c r="G7" i="6"/>
  <c r="E7" i="6"/>
  <c r="D7" i="6"/>
  <c r="B7" i="6"/>
  <c r="N7" i="6"/>
  <c r="P7" i="6"/>
  <c r="O7" i="6"/>
  <c r="K7" i="7"/>
  <c r="E7" i="7"/>
  <c r="C7" i="7"/>
  <c r="B7" i="7"/>
  <c r="P7" i="7"/>
  <c r="O7" i="7"/>
  <c r="G7" i="7"/>
  <c r="F7" i="7"/>
  <c r="D7" i="7"/>
  <c r="Q7" i="7"/>
  <c r="N7" i="7"/>
  <c r="L7" i="7"/>
  <c r="M7" i="7"/>
  <c r="J7" i="7"/>
  <c r="I7" i="7"/>
  <c r="H7" i="7"/>
  <c r="L59" i="7"/>
  <c r="J59" i="7"/>
  <c r="I59" i="7"/>
  <c r="G59" i="7"/>
  <c r="F59" i="7"/>
  <c r="E59" i="7"/>
  <c r="C59" i="7"/>
  <c r="B59" i="7"/>
  <c r="Q59" i="7"/>
  <c r="M59" i="7"/>
  <c r="H59" i="7"/>
  <c r="D59" i="7"/>
  <c r="P59" i="7"/>
  <c r="K59" i="7"/>
  <c r="O59" i="7"/>
  <c r="N59" i="7"/>
  <c r="G7" i="3"/>
  <c r="F7" i="3"/>
  <c r="E7" i="3"/>
  <c r="D7" i="3"/>
  <c r="B7" i="3"/>
  <c r="Q7" i="3"/>
  <c r="P7" i="3"/>
  <c r="O7" i="3"/>
  <c r="L7" i="3"/>
  <c r="N7" i="3"/>
  <c r="K7" i="3"/>
  <c r="J7" i="3"/>
  <c r="I7" i="3"/>
  <c r="C7" i="3"/>
  <c r="M7" i="3"/>
  <c r="H7" i="3"/>
  <c r="K14" i="11"/>
  <c r="L19" i="3"/>
  <c r="K19" i="3"/>
  <c r="J19" i="3"/>
  <c r="I19" i="3"/>
  <c r="G19" i="3"/>
  <c r="F19" i="3"/>
  <c r="E19" i="3"/>
  <c r="D19" i="3"/>
  <c r="Q19" i="3"/>
  <c r="P19" i="3"/>
  <c r="O19" i="3"/>
  <c r="N19" i="3"/>
  <c r="C19" i="3"/>
  <c r="M19" i="3"/>
  <c r="H19" i="3"/>
  <c r="B19" i="3"/>
  <c r="J69" i="3"/>
  <c r="I69" i="3"/>
  <c r="G69" i="3"/>
  <c r="N69" i="3"/>
  <c r="H69" i="3"/>
  <c r="F69" i="3"/>
  <c r="E69" i="3"/>
  <c r="D69" i="3"/>
  <c r="C69" i="3"/>
  <c r="B69" i="3"/>
  <c r="Q69" i="3"/>
  <c r="P69" i="3"/>
  <c r="O69" i="3"/>
  <c r="K69" i="3"/>
  <c r="M69" i="3"/>
  <c r="L69" i="3"/>
  <c r="N38" i="4"/>
  <c r="M38" i="4"/>
  <c r="L38" i="4"/>
  <c r="K38" i="4"/>
  <c r="J38" i="4"/>
  <c r="I38" i="4"/>
  <c r="G38" i="4"/>
  <c r="F38" i="4"/>
  <c r="E38" i="4"/>
  <c r="D38" i="4"/>
  <c r="B38" i="4"/>
  <c r="O38" i="4"/>
  <c r="C38" i="4"/>
  <c r="H38" i="4"/>
  <c r="Q38" i="4"/>
  <c r="P38" i="4"/>
  <c r="H56" i="4"/>
  <c r="G56" i="4"/>
  <c r="F56" i="4"/>
  <c r="M56" i="4"/>
  <c r="L56" i="4"/>
  <c r="K56" i="4"/>
  <c r="J56" i="4"/>
  <c r="I56" i="4"/>
  <c r="E56" i="4"/>
  <c r="C56" i="4"/>
  <c r="B56" i="4"/>
  <c r="Q56" i="4"/>
  <c r="N56" i="4"/>
  <c r="P56" i="4"/>
  <c r="O56" i="4"/>
  <c r="D56" i="4"/>
  <c r="L6" i="7"/>
  <c r="E6" i="7"/>
  <c r="C6" i="7"/>
  <c r="B6" i="7"/>
  <c r="P6" i="7"/>
  <c r="O6" i="7"/>
  <c r="Q6" i="7"/>
  <c r="N6" i="7"/>
  <c r="M6" i="7"/>
  <c r="K6" i="7"/>
  <c r="J6" i="7"/>
  <c r="I6" i="7"/>
  <c r="H6" i="7"/>
  <c r="F6" i="7"/>
  <c r="G6" i="7"/>
  <c r="D6" i="7"/>
  <c r="I27" i="7"/>
  <c r="Q27" i="7"/>
  <c r="O27" i="7"/>
  <c r="N27" i="7"/>
  <c r="K27" i="7"/>
  <c r="J27" i="7"/>
  <c r="P27" i="7"/>
  <c r="J31" i="7" s="1"/>
  <c r="M27" i="7"/>
  <c r="L27" i="7"/>
  <c r="H27" i="7"/>
  <c r="G27" i="7"/>
  <c r="F27" i="7"/>
  <c r="E27" i="7"/>
  <c r="D27" i="7"/>
  <c r="C27" i="7"/>
  <c r="B27" i="7"/>
  <c r="J27" i="5"/>
  <c r="I27" i="5"/>
  <c r="H27" i="5"/>
  <c r="G27" i="5"/>
  <c r="F27" i="5"/>
  <c r="E27" i="5"/>
  <c r="D27" i="5"/>
  <c r="Q27" i="5"/>
  <c r="P27" i="5"/>
  <c r="O27" i="5"/>
  <c r="N27" i="5"/>
  <c r="M27" i="5"/>
  <c r="L27" i="5"/>
  <c r="K27" i="5"/>
  <c r="C27" i="5"/>
  <c r="B27" i="5"/>
  <c r="J70" i="6"/>
  <c r="Q70" i="6"/>
  <c r="O70" i="6"/>
  <c r="N70" i="6"/>
  <c r="K70" i="6"/>
  <c r="I70" i="6"/>
  <c r="P70" i="6"/>
  <c r="M70" i="6"/>
  <c r="L70" i="6"/>
  <c r="H70" i="6"/>
  <c r="G70" i="6"/>
  <c r="F70" i="6"/>
  <c r="E70" i="6"/>
  <c r="D70" i="6"/>
  <c r="B70" i="6"/>
  <c r="C70" i="6"/>
  <c r="N57" i="7"/>
  <c r="J57" i="7"/>
  <c r="I57" i="7"/>
  <c r="G57" i="7"/>
  <c r="F57" i="7"/>
  <c r="E57" i="7"/>
  <c r="C57" i="7"/>
  <c r="B57" i="7"/>
  <c r="Q57" i="7"/>
  <c r="L57" i="7"/>
  <c r="P57" i="7"/>
  <c r="O57" i="7"/>
  <c r="M57" i="7"/>
  <c r="K57" i="7"/>
  <c r="H57" i="7"/>
  <c r="D57" i="7"/>
  <c r="N55" i="6"/>
  <c r="K55" i="6"/>
  <c r="H55" i="6"/>
  <c r="G55" i="6"/>
  <c r="J55" i="6"/>
  <c r="I55" i="6"/>
  <c r="F55" i="6"/>
  <c r="E55" i="6"/>
  <c r="D55" i="6"/>
  <c r="C55" i="6"/>
  <c r="B55" i="6"/>
  <c r="P55" i="6"/>
  <c r="Q55" i="6"/>
  <c r="O55" i="6"/>
  <c r="M55" i="6"/>
  <c r="L55" i="6"/>
  <c r="K25" i="7"/>
  <c r="Q25" i="7"/>
  <c r="O25" i="7"/>
  <c r="N25" i="7"/>
  <c r="J25" i="7"/>
  <c r="I25" i="7"/>
  <c r="D25" i="7"/>
  <c r="C25" i="7"/>
  <c r="B25" i="7"/>
  <c r="P25" i="7"/>
  <c r="M25" i="7"/>
  <c r="L25" i="7"/>
  <c r="H25" i="7"/>
  <c r="G25" i="7"/>
  <c r="F25" i="7"/>
  <c r="E25" i="7"/>
  <c r="K60" i="7"/>
  <c r="J60" i="7"/>
  <c r="I60" i="7"/>
  <c r="G60" i="7"/>
  <c r="F60" i="7"/>
  <c r="E60" i="7"/>
  <c r="C60" i="7"/>
  <c r="B60" i="7"/>
  <c r="Q60" i="7"/>
  <c r="M60" i="7"/>
  <c r="P60" i="7"/>
  <c r="O60" i="7"/>
  <c r="N60" i="7"/>
  <c r="L60" i="7"/>
  <c r="H60" i="7"/>
  <c r="D60" i="7"/>
  <c r="K50" i="3"/>
  <c r="J50" i="3"/>
  <c r="H50" i="3"/>
  <c r="O50" i="3"/>
  <c r="N50" i="3"/>
  <c r="M50" i="3"/>
  <c r="L50" i="3"/>
  <c r="I50" i="3"/>
  <c r="G50" i="3"/>
  <c r="F50" i="3"/>
  <c r="E50" i="3"/>
  <c r="D50" i="3"/>
  <c r="C50" i="3"/>
  <c r="B50" i="3"/>
  <c r="P50" i="3"/>
  <c r="Q50" i="3"/>
  <c r="O37" i="4"/>
  <c r="N37" i="4"/>
  <c r="M37" i="4"/>
  <c r="L37" i="4"/>
  <c r="K37" i="4"/>
  <c r="J37" i="4"/>
  <c r="H37" i="4"/>
  <c r="G37" i="4"/>
  <c r="F37" i="4"/>
  <c r="E37" i="4"/>
  <c r="C37" i="4"/>
  <c r="P37" i="4"/>
  <c r="Q37" i="4"/>
  <c r="I37" i="4"/>
  <c r="D37" i="4"/>
  <c r="B37" i="4"/>
  <c r="M68" i="4"/>
  <c r="L68" i="4"/>
  <c r="K68" i="4"/>
  <c r="J68" i="4"/>
  <c r="H68" i="4"/>
  <c r="G68" i="4"/>
  <c r="Q68" i="4"/>
  <c r="P68" i="4"/>
  <c r="O68" i="4"/>
  <c r="I68" i="4"/>
  <c r="F68" i="4"/>
  <c r="E68" i="4"/>
  <c r="D68" i="4"/>
  <c r="B68" i="4"/>
  <c r="C68" i="4"/>
  <c r="N68" i="4"/>
  <c r="L25" i="5"/>
  <c r="K25" i="5"/>
  <c r="J25" i="5"/>
  <c r="I25" i="5"/>
  <c r="J31" i="5"/>
  <c r="H25" i="5"/>
  <c r="G25" i="5"/>
  <c r="F25" i="5"/>
  <c r="C25" i="5"/>
  <c r="Q25" i="5"/>
  <c r="P25" i="5"/>
  <c r="O25" i="5"/>
  <c r="N25" i="5"/>
  <c r="M25" i="5"/>
  <c r="E25" i="5"/>
  <c r="D25" i="5"/>
  <c r="B25" i="5"/>
  <c r="F29" i="4"/>
  <c r="E29" i="4"/>
  <c r="D29" i="4"/>
  <c r="C29" i="4"/>
  <c r="B29" i="4"/>
  <c r="Q29" i="4"/>
  <c r="O29" i="4"/>
  <c r="N29" i="4"/>
  <c r="M29" i="4"/>
  <c r="L29" i="4"/>
  <c r="J29" i="4"/>
  <c r="P29" i="4"/>
  <c r="K29" i="4"/>
  <c r="I29" i="4"/>
  <c r="H29" i="4"/>
  <c r="G29" i="4"/>
  <c r="B60" i="3"/>
  <c r="Q60" i="3"/>
  <c r="O60" i="3"/>
  <c r="F60" i="3"/>
  <c r="K60" i="3"/>
  <c r="J60" i="3"/>
  <c r="I60" i="3"/>
  <c r="H60" i="3"/>
  <c r="G60" i="3"/>
  <c r="E60" i="3"/>
  <c r="D60" i="3"/>
  <c r="C60" i="3"/>
  <c r="P60" i="3"/>
  <c r="L60" i="3"/>
  <c r="N60" i="3"/>
  <c r="M60" i="3"/>
  <c r="N18" i="6"/>
  <c r="L18" i="6"/>
  <c r="K18" i="6"/>
  <c r="I18" i="6"/>
  <c r="H18" i="6"/>
  <c r="G18" i="6"/>
  <c r="P18" i="6"/>
  <c r="O18" i="6"/>
  <c r="M18" i="6"/>
  <c r="J18" i="6"/>
  <c r="F18" i="6"/>
  <c r="E18" i="6"/>
  <c r="D18" i="6"/>
  <c r="C18" i="6"/>
  <c r="B18" i="6"/>
  <c r="Q18" i="6"/>
  <c r="I9" i="7"/>
  <c r="E9" i="7"/>
  <c r="C9" i="7"/>
  <c r="B9" i="7"/>
  <c r="P9" i="7"/>
  <c r="O9" i="7"/>
  <c r="Q9" i="7"/>
  <c r="N9" i="7"/>
  <c r="M9" i="7"/>
  <c r="L9" i="7"/>
  <c r="K9" i="7"/>
  <c r="J9" i="7"/>
  <c r="H9" i="7"/>
  <c r="G9" i="7"/>
  <c r="D9" i="7"/>
  <c r="F9" i="7"/>
  <c r="F66" i="7"/>
  <c r="H66" i="7"/>
  <c r="G66" i="7"/>
  <c r="D66" i="7"/>
  <c r="C66" i="7"/>
  <c r="B66" i="7"/>
  <c r="Q66" i="7"/>
  <c r="P66" i="7"/>
  <c r="O66" i="7"/>
  <c r="N66" i="7"/>
  <c r="J66" i="7"/>
  <c r="M66" i="7"/>
  <c r="L66" i="7"/>
  <c r="K66" i="7"/>
  <c r="I66" i="7"/>
  <c r="E66" i="7"/>
  <c r="E8" i="6"/>
  <c r="D8" i="6"/>
  <c r="B8" i="6"/>
  <c r="Q8" i="6"/>
  <c r="P8" i="6"/>
  <c r="O8" i="6"/>
  <c r="N8" i="6"/>
  <c r="M8" i="6"/>
  <c r="L8" i="6"/>
  <c r="K8" i="6"/>
  <c r="J8" i="6"/>
  <c r="I8" i="6"/>
  <c r="H8" i="6"/>
  <c r="G8" i="6"/>
  <c r="F8" i="6"/>
  <c r="C8" i="6"/>
  <c r="Q57" i="5"/>
  <c r="L57" i="5"/>
  <c r="J57" i="5"/>
  <c r="I57" i="5"/>
  <c r="H57" i="5"/>
  <c r="G57" i="5"/>
  <c r="F57" i="5"/>
  <c r="E57" i="5"/>
  <c r="D57" i="5"/>
  <c r="C57" i="5"/>
  <c r="B57" i="5"/>
  <c r="O57" i="5"/>
  <c r="K57" i="5"/>
  <c r="P57" i="5"/>
  <c r="J61" i="5" s="1"/>
  <c r="N57" i="5"/>
  <c r="M57" i="5"/>
  <c r="H26" i="6"/>
  <c r="Q26" i="6"/>
  <c r="K26" i="6"/>
  <c r="J26" i="6"/>
  <c r="I26" i="6"/>
  <c r="G26" i="6"/>
  <c r="E26" i="6"/>
  <c r="D26" i="6"/>
  <c r="C26" i="6"/>
  <c r="P26" i="6"/>
  <c r="O26" i="6"/>
  <c r="N26" i="6"/>
  <c r="M26" i="6"/>
  <c r="L26" i="6"/>
  <c r="F26" i="6"/>
  <c r="B26" i="6"/>
  <c r="P15" i="3"/>
  <c r="O15" i="3"/>
  <c r="N15" i="3"/>
  <c r="M15" i="3"/>
  <c r="K15" i="3"/>
  <c r="J15" i="3"/>
  <c r="I15" i="3"/>
  <c r="H15" i="3"/>
  <c r="E15" i="3"/>
  <c r="Q15" i="3"/>
  <c r="L15" i="3"/>
  <c r="G15" i="3"/>
  <c r="D15" i="3"/>
  <c r="C15" i="3"/>
  <c r="F15" i="3"/>
  <c r="B15" i="3"/>
  <c r="T10" i="11"/>
  <c r="F86" i="11"/>
  <c r="K10" i="11"/>
  <c r="H10" i="11"/>
  <c r="N18" i="11"/>
  <c r="O14" i="11"/>
  <c r="J90" i="11" s="1"/>
  <c r="H8" i="11"/>
  <c r="D86" i="11"/>
  <c r="T8" i="11"/>
  <c r="G55" i="3"/>
  <c r="F55" i="3"/>
  <c r="D55" i="3"/>
  <c r="N55" i="3"/>
  <c r="M55" i="3"/>
  <c r="L55" i="3"/>
  <c r="K55" i="3"/>
  <c r="J55" i="3"/>
  <c r="I55" i="3"/>
  <c r="H55" i="3"/>
  <c r="E55" i="3"/>
  <c r="C55" i="3"/>
  <c r="B55" i="3"/>
  <c r="O55" i="3"/>
  <c r="Q55" i="3"/>
  <c r="P55" i="3"/>
  <c r="F8" i="3"/>
  <c r="E8" i="3"/>
  <c r="D8" i="3"/>
  <c r="C8" i="3"/>
  <c r="Q8" i="3"/>
  <c r="P8" i="3"/>
  <c r="O8" i="3"/>
  <c r="N8" i="3"/>
  <c r="K8" i="3"/>
  <c r="I8" i="3"/>
  <c r="H8" i="3"/>
  <c r="G8" i="3"/>
  <c r="B8" i="3"/>
  <c r="L8" i="3"/>
  <c r="M8" i="3"/>
  <c r="J8" i="3"/>
  <c r="L67" i="3"/>
  <c r="K67" i="3"/>
  <c r="I67" i="3"/>
  <c r="P67" i="3"/>
  <c r="Q67" i="3"/>
  <c r="O67" i="3"/>
  <c r="N67" i="3"/>
  <c r="M67" i="3"/>
  <c r="J67" i="3"/>
  <c r="H67" i="3"/>
  <c r="G67" i="3"/>
  <c r="F67" i="3"/>
  <c r="E67" i="3"/>
  <c r="B67" i="3"/>
  <c r="D67" i="3"/>
  <c r="C67" i="3"/>
  <c r="I8" i="4"/>
  <c r="H8" i="4"/>
  <c r="F8" i="4"/>
  <c r="E8" i="4"/>
  <c r="Q8" i="4"/>
  <c r="O8" i="4"/>
  <c r="M8" i="4"/>
  <c r="B8" i="4"/>
  <c r="P8" i="4"/>
  <c r="N8" i="4"/>
  <c r="L8" i="4"/>
  <c r="K8" i="4"/>
  <c r="J8" i="4"/>
  <c r="C8" i="4"/>
  <c r="G8" i="4"/>
  <c r="D8" i="4"/>
  <c r="P47" i="4"/>
  <c r="N47" i="4"/>
  <c r="F47" i="4"/>
  <c r="E47" i="4"/>
  <c r="D47" i="4"/>
  <c r="C47" i="4"/>
  <c r="B47" i="4"/>
  <c r="Q47" i="4"/>
  <c r="O47" i="4"/>
  <c r="M47" i="4"/>
  <c r="L47" i="4"/>
  <c r="J47" i="4"/>
  <c r="G47" i="4"/>
  <c r="K47" i="4"/>
  <c r="I47" i="4"/>
  <c r="H47" i="4"/>
  <c r="B16" i="4"/>
  <c r="Q16" i="4"/>
  <c r="P16" i="4"/>
  <c r="O16" i="4"/>
  <c r="N16" i="4"/>
  <c r="J16" i="4"/>
  <c r="H16" i="4"/>
  <c r="F16" i="4"/>
  <c r="M16" i="4"/>
  <c r="L16" i="4"/>
  <c r="K16" i="4"/>
  <c r="I16" i="4"/>
  <c r="G16" i="4"/>
  <c r="E16" i="4"/>
  <c r="D16" i="4"/>
  <c r="C16" i="4"/>
  <c r="N55" i="5"/>
  <c r="I55" i="5"/>
  <c r="H55" i="5"/>
  <c r="G55" i="5"/>
  <c r="F55" i="5"/>
  <c r="E55" i="5"/>
  <c r="D55" i="5"/>
  <c r="C55" i="5"/>
  <c r="B55" i="5"/>
  <c r="Q55" i="5"/>
  <c r="P55" i="5"/>
  <c r="J55" i="5"/>
  <c r="O55" i="5"/>
  <c r="M55" i="5"/>
  <c r="L55" i="5"/>
  <c r="K55" i="5"/>
  <c r="D60" i="4"/>
  <c r="C60" i="4"/>
  <c r="B60" i="4"/>
  <c r="Q60" i="4"/>
  <c r="O60" i="4"/>
  <c r="N60" i="4"/>
  <c r="M60" i="4"/>
  <c r="L60" i="4"/>
  <c r="K60" i="4"/>
  <c r="J60" i="4"/>
  <c r="I60" i="4"/>
  <c r="H60" i="4"/>
  <c r="F60" i="4"/>
  <c r="E60" i="4"/>
  <c r="P60" i="4"/>
  <c r="G60" i="4"/>
  <c r="I45" i="7"/>
  <c r="M45" i="7"/>
  <c r="L45" i="7"/>
  <c r="J45" i="7"/>
  <c r="H45" i="7"/>
  <c r="E45" i="7"/>
  <c r="D45" i="7"/>
  <c r="J51" i="7"/>
  <c r="B45" i="7"/>
  <c r="O45" i="7"/>
  <c r="Q45" i="7"/>
  <c r="P45" i="7"/>
  <c r="N45" i="7"/>
  <c r="K45" i="7"/>
  <c r="G45" i="7"/>
  <c r="F45" i="7"/>
  <c r="C45" i="7"/>
  <c r="B50" i="6"/>
  <c r="O50" i="6"/>
  <c r="L50" i="6"/>
  <c r="K50" i="6"/>
  <c r="H50" i="6"/>
  <c r="G50" i="6"/>
  <c r="F50" i="6"/>
  <c r="E50" i="6"/>
  <c r="D50" i="6"/>
  <c r="C50" i="6"/>
  <c r="Q50" i="6"/>
  <c r="N50" i="6"/>
  <c r="P50" i="6"/>
  <c r="I50" i="6"/>
  <c r="M50" i="6"/>
  <c r="J50" i="6"/>
  <c r="E47" i="6"/>
  <c r="N47" i="6"/>
  <c r="C47" i="6"/>
  <c r="B47" i="6"/>
  <c r="P47" i="6"/>
  <c r="O47" i="6"/>
  <c r="M47" i="6"/>
  <c r="K47" i="6"/>
  <c r="J47" i="6"/>
  <c r="H47" i="6"/>
  <c r="Q47" i="6"/>
  <c r="L47" i="6"/>
  <c r="I47" i="6"/>
  <c r="D47" i="6"/>
  <c r="F47" i="6"/>
  <c r="G47" i="6"/>
  <c r="D68" i="7"/>
  <c r="H68" i="7"/>
  <c r="G68" i="7"/>
  <c r="E68" i="7"/>
  <c r="C68" i="7"/>
  <c r="B68" i="7"/>
  <c r="Q68" i="7"/>
  <c r="P68" i="7"/>
  <c r="O68" i="7"/>
  <c r="N68" i="7"/>
  <c r="J68" i="7"/>
  <c r="L68" i="7"/>
  <c r="K68" i="7"/>
  <c r="I68" i="7"/>
  <c r="F68" i="7"/>
  <c r="M68" i="7"/>
  <c r="B86" i="11"/>
  <c r="H6" i="11"/>
  <c r="D18" i="11"/>
  <c r="T18" i="11" s="1"/>
  <c r="T6" i="11"/>
  <c r="I6" i="11"/>
  <c r="B88" i="11" s="1"/>
  <c r="K6" i="11"/>
  <c r="P18" i="11"/>
  <c r="B91" i="11"/>
  <c r="O17" i="11"/>
  <c r="M90" i="11" s="1"/>
  <c r="H9" i="11"/>
  <c r="E86" i="11"/>
  <c r="T9" i="11"/>
  <c r="AS5" i="1"/>
  <c r="P18" i="4"/>
  <c r="O18" i="4"/>
  <c r="N18" i="4"/>
  <c r="M18" i="4"/>
  <c r="L18" i="4"/>
  <c r="H18" i="4"/>
  <c r="F18" i="4"/>
  <c r="D18" i="4"/>
  <c r="Q18" i="4"/>
  <c r="K18" i="4"/>
  <c r="J18" i="4"/>
  <c r="I18" i="4"/>
  <c r="G18" i="4"/>
  <c r="E18" i="4"/>
  <c r="C18" i="4"/>
  <c r="B18" i="4"/>
  <c r="F26" i="3"/>
  <c r="E26" i="3"/>
  <c r="D26" i="3"/>
  <c r="C26" i="3"/>
  <c r="Q26" i="3"/>
  <c r="P26" i="3"/>
  <c r="O26" i="3"/>
  <c r="N26" i="3"/>
  <c r="M26" i="3"/>
  <c r="L26" i="3"/>
  <c r="K26" i="3"/>
  <c r="J26" i="3"/>
  <c r="G26" i="3"/>
  <c r="H26" i="3"/>
  <c r="B26" i="3"/>
  <c r="I26" i="3"/>
  <c r="P36" i="4"/>
  <c r="O36" i="4"/>
  <c r="N36" i="4"/>
  <c r="M36" i="4"/>
  <c r="L36" i="4"/>
  <c r="K36" i="4"/>
  <c r="I36" i="4"/>
  <c r="H36" i="4"/>
  <c r="G36" i="4"/>
  <c r="F36" i="4"/>
  <c r="D36" i="4"/>
  <c r="Q36" i="4"/>
  <c r="J36" i="4"/>
  <c r="E36" i="4"/>
  <c r="C36" i="4"/>
  <c r="B36" i="4"/>
  <c r="I26" i="4"/>
  <c r="H26" i="4"/>
  <c r="G26" i="4"/>
  <c r="F26" i="4"/>
  <c r="E26" i="4"/>
  <c r="D26" i="4"/>
  <c r="Q26" i="4"/>
  <c r="P26" i="4"/>
  <c r="O26" i="4"/>
  <c r="M26" i="4"/>
  <c r="N26" i="4"/>
  <c r="L26" i="4"/>
  <c r="K26" i="4"/>
  <c r="J26" i="4"/>
  <c r="C26" i="4"/>
  <c r="B26" i="4"/>
  <c r="K8" i="5"/>
  <c r="J8" i="5"/>
  <c r="I8" i="5"/>
  <c r="H8" i="5"/>
  <c r="F8" i="5"/>
  <c r="E8" i="5"/>
  <c r="L8" i="5"/>
  <c r="G8" i="5"/>
  <c r="D8" i="5"/>
  <c r="C8" i="5"/>
  <c r="B8" i="5"/>
  <c r="Q8" i="5"/>
  <c r="P8" i="5"/>
  <c r="M8" i="5"/>
  <c r="O8" i="5"/>
  <c r="N8" i="5"/>
  <c r="B50" i="5"/>
  <c r="L50" i="5"/>
  <c r="K50" i="5"/>
  <c r="J50" i="5"/>
  <c r="I50" i="5"/>
  <c r="H50" i="5"/>
  <c r="G50" i="5"/>
  <c r="F50" i="5"/>
  <c r="E50" i="5"/>
  <c r="D50" i="5"/>
  <c r="C50" i="5"/>
  <c r="M50" i="5"/>
  <c r="N50" i="5"/>
  <c r="O50" i="5"/>
  <c r="Q50" i="5"/>
  <c r="P50" i="5"/>
  <c r="M56" i="5"/>
  <c r="I56" i="5"/>
  <c r="H56" i="5"/>
  <c r="G56" i="5"/>
  <c r="F56" i="5"/>
  <c r="E56" i="5"/>
  <c r="D56" i="5"/>
  <c r="C56" i="5"/>
  <c r="B56" i="5"/>
  <c r="Q56" i="5"/>
  <c r="P56" i="5"/>
  <c r="J56" i="5"/>
  <c r="O56" i="5"/>
  <c r="N56" i="5"/>
  <c r="L56" i="5"/>
  <c r="K56" i="5"/>
  <c r="D16" i="5"/>
  <c r="C16" i="5"/>
  <c r="B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G47" i="7"/>
  <c r="M47" i="7"/>
  <c r="L47" i="7"/>
  <c r="J47" i="7"/>
  <c r="I47" i="7"/>
  <c r="E47" i="7"/>
  <c r="D47" i="7"/>
  <c r="B47" i="7"/>
  <c r="O47" i="7"/>
  <c r="Q47" i="7"/>
  <c r="P47" i="7"/>
  <c r="N47" i="7"/>
  <c r="K47" i="7"/>
  <c r="H47" i="7"/>
  <c r="F47" i="7"/>
  <c r="C47" i="7"/>
  <c r="I60" i="6"/>
  <c r="F60" i="6"/>
  <c r="C60" i="6"/>
  <c r="B60" i="6"/>
  <c r="K60" i="6"/>
  <c r="J60" i="6"/>
  <c r="H60" i="6"/>
  <c r="G60" i="6"/>
  <c r="E60" i="6"/>
  <c r="D60" i="6"/>
  <c r="Q60" i="6"/>
  <c r="O60" i="6"/>
  <c r="P60" i="6"/>
  <c r="N60" i="6"/>
  <c r="M60" i="6"/>
  <c r="L60" i="6"/>
  <c r="H10" i="7"/>
  <c r="E10" i="7"/>
  <c r="C10" i="7"/>
  <c r="B10" i="7"/>
  <c r="P10" i="7"/>
  <c r="O10" i="7"/>
  <c r="F10" i="7"/>
  <c r="D10" i="7"/>
  <c r="Q10" i="7"/>
  <c r="N10" i="7"/>
  <c r="M10" i="7"/>
  <c r="K10" i="7"/>
  <c r="J10" i="7"/>
  <c r="I10" i="7"/>
  <c r="G10" i="7"/>
  <c r="L10" i="7"/>
  <c r="C69" i="7"/>
  <c r="H69" i="7"/>
  <c r="G69" i="7"/>
  <c r="E69" i="7"/>
  <c r="D69" i="7"/>
  <c r="B69" i="7"/>
  <c r="Q69" i="7"/>
  <c r="P69" i="7"/>
  <c r="O69" i="7"/>
  <c r="N69" i="7"/>
  <c r="J69" i="7"/>
  <c r="M69" i="7"/>
  <c r="L69" i="7"/>
  <c r="K69" i="7"/>
  <c r="I69" i="7"/>
  <c r="F69" i="7"/>
  <c r="I70" i="3"/>
  <c r="H70" i="3"/>
  <c r="F70" i="3"/>
  <c r="M70" i="3"/>
  <c r="N70" i="3"/>
  <c r="L70" i="3"/>
  <c r="K70" i="3"/>
  <c r="J70" i="3"/>
  <c r="G70" i="3"/>
  <c r="E70" i="3"/>
  <c r="D70" i="3"/>
  <c r="C70" i="3"/>
  <c r="B70" i="3"/>
  <c r="O70" i="3"/>
  <c r="Q70" i="3"/>
  <c r="P70" i="3"/>
  <c r="P65" i="4"/>
  <c r="O65" i="4"/>
  <c r="N65" i="4"/>
  <c r="M65" i="4"/>
  <c r="K65" i="4"/>
  <c r="J65" i="4"/>
  <c r="Q65" i="4"/>
  <c r="L65" i="4"/>
  <c r="H65" i="4"/>
  <c r="G65" i="4"/>
  <c r="F65" i="4"/>
  <c r="E65" i="4"/>
  <c r="C65" i="4"/>
  <c r="I65" i="4"/>
  <c r="D65" i="4"/>
  <c r="B65" i="4"/>
  <c r="N47" i="3"/>
  <c r="M47" i="3"/>
  <c r="K47" i="3"/>
  <c r="F47" i="3"/>
  <c r="E47" i="3"/>
  <c r="D47" i="3"/>
  <c r="C47" i="3"/>
  <c r="B47" i="3"/>
  <c r="Q47" i="3"/>
  <c r="P47" i="3"/>
  <c r="O47" i="3"/>
  <c r="L47" i="3"/>
  <c r="J47" i="3"/>
  <c r="G47" i="3"/>
  <c r="I47" i="3"/>
  <c r="H47" i="3"/>
  <c r="I10" i="5"/>
  <c r="H10" i="5"/>
  <c r="G10" i="5"/>
  <c r="F10" i="5"/>
  <c r="D10" i="5"/>
  <c r="C10" i="5"/>
  <c r="Q10" i="5"/>
  <c r="P10" i="5"/>
  <c r="O10" i="5"/>
  <c r="N10" i="5"/>
  <c r="M10" i="5"/>
  <c r="L10" i="5"/>
  <c r="K10" i="5"/>
  <c r="J10" i="5"/>
  <c r="E10" i="5"/>
  <c r="B10" i="5"/>
  <c r="M50" i="4"/>
  <c r="L50" i="4"/>
  <c r="K50" i="4"/>
  <c r="I50" i="4"/>
  <c r="H50" i="4"/>
  <c r="G50" i="4"/>
  <c r="F50" i="4"/>
  <c r="E50" i="4"/>
  <c r="D50" i="4"/>
  <c r="B50" i="4"/>
  <c r="P50" i="4"/>
  <c r="J50" i="4"/>
  <c r="Q50" i="4"/>
  <c r="C50" i="4"/>
  <c r="O50" i="4"/>
  <c r="N50" i="4"/>
  <c r="F46" i="5"/>
  <c r="L46" i="5"/>
  <c r="K46" i="5"/>
  <c r="J46" i="5"/>
  <c r="I46" i="5"/>
  <c r="H46" i="5"/>
  <c r="G46" i="5"/>
  <c r="E46" i="5"/>
  <c r="D46" i="5"/>
  <c r="C46" i="5"/>
  <c r="B46" i="5"/>
  <c r="M46" i="5"/>
  <c r="Q46" i="5"/>
  <c r="P46" i="5"/>
  <c r="O46" i="5"/>
  <c r="N46" i="5"/>
  <c r="Q17" i="4"/>
  <c r="P17" i="4"/>
  <c r="O17" i="4"/>
  <c r="N17" i="4"/>
  <c r="M17" i="4"/>
  <c r="I17" i="4"/>
  <c r="G17" i="4"/>
  <c r="E17" i="4"/>
  <c r="D17" i="4"/>
  <c r="C17" i="4"/>
  <c r="B17" i="4"/>
  <c r="L17" i="4"/>
  <c r="K17" i="4"/>
  <c r="F17" i="4"/>
  <c r="J17" i="4"/>
  <c r="H17" i="4"/>
  <c r="P55" i="7"/>
  <c r="J55" i="7"/>
  <c r="I55" i="7"/>
  <c r="G55" i="7"/>
  <c r="F55" i="7"/>
  <c r="E55" i="7"/>
  <c r="C55" i="7"/>
  <c r="B55" i="7"/>
  <c r="Q55" i="7"/>
  <c r="L55" i="7"/>
  <c r="O55" i="7"/>
  <c r="N55" i="7"/>
  <c r="M55" i="7"/>
  <c r="K55" i="7"/>
  <c r="H55" i="7"/>
  <c r="D55" i="7"/>
  <c r="M20" i="6"/>
  <c r="L20" i="6"/>
  <c r="J20" i="6"/>
  <c r="I20" i="6"/>
  <c r="G20" i="6"/>
  <c r="F20" i="6"/>
  <c r="E20" i="6"/>
  <c r="D20" i="6"/>
  <c r="C20" i="6"/>
  <c r="B20" i="6"/>
  <c r="Q20" i="6"/>
  <c r="P20" i="6"/>
  <c r="O20" i="6"/>
  <c r="H20" i="6"/>
  <c r="N20" i="6"/>
  <c r="K20" i="6"/>
  <c r="E49" i="7"/>
  <c r="M49" i="7"/>
  <c r="L49" i="7"/>
  <c r="J49" i="7"/>
  <c r="I49" i="7"/>
  <c r="H49" i="7"/>
  <c r="F49" i="7"/>
  <c r="D49" i="7"/>
  <c r="B49" i="7"/>
  <c r="O49" i="7"/>
  <c r="Q49" i="7"/>
  <c r="P49" i="7"/>
  <c r="N49" i="7"/>
  <c r="K49" i="7"/>
  <c r="G49" i="7"/>
  <c r="C49" i="7"/>
  <c r="D15" i="7"/>
  <c r="B15" i="7"/>
  <c r="Q15" i="7"/>
  <c r="P15" i="7"/>
  <c r="M15" i="7"/>
  <c r="L15" i="7"/>
  <c r="I15" i="7"/>
  <c r="H15" i="7"/>
  <c r="G15" i="7"/>
  <c r="F15" i="7"/>
  <c r="J21" i="7"/>
  <c r="E15" i="7"/>
  <c r="C15" i="7"/>
  <c r="O15" i="7"/>
  <c r="N15" i="7"/>
  <c r="K15" i="7"/>
  <c r="J15" i="7"/>
  <c r="B35" i="7"/>
  <c r="O35" i="7"/>
  <c r="N35" i="7"/>
  <c r="L35" i="7"/>
  <c r="K35" i="7"/>
  <c r="H35" i="7"/>
  <c r="G35" i="7"/>
  <c r="D35" i="7"/>
  <c r="C35" i="7"/>
  <c r="Q35" i="7"/>
  <c r="P35" i="7"/>
  <c r="M35" i="7"/>
  <c r="J35" i="7"/>
  <c r="I35" i="7"/>
  <c r="F35" i="7"/>
  <c r="E35" i="7"/>
  <c r="J41" i="7"/>
  <c r="B70" i="7"/>
  <c r="H70" i="7"/>
  <c r="G70" i="7"/>
  <c r="E70" i="7"/>
  <c r="D70" i="7"/>
  <c r="C70" i="7"/>
  <c r="Q70" i="7"/>
  <c r="P70" i="7"/>
  <c r="O70" i="7"/>
  <c r="N70" i="7"/>
  <c r="J70" i="7"/>
  <c r="M70" i="7"/>
  <c r="L70" i="7"/>
  <c r="K70" i="7"/>
  <c r="I70" i="7"/>
  <c r="F70" i="7"/>
  <c r="L49" i="3"/>
  <c r="K49" i="3"/>
  <c r="I49" i="3"/>
  <c r="M49" i="3"/>
  <c r="J49" i="3"/>
  <c r="H49" i="3"/>
  <c r="G49" i="3"/>
  <c r="F49" i="3"/>
  <c r="E49" i="3"/>
  <c r="D49" i="3"/>
  <c r="C49" i="3"/>
  <c r="B49" i="3"/>
  <c r="Q49" i="3"/>
  <c r="N49" i="3"/>
  <c r="P49" i="3"/>
  <c r="O49" i="3"/>
  <c r="O59" i="5"/>
  <c r="J59" i="5"/>
  <c r="M59" i="5"/>
  <c r="L59" i="5"/>
  <c r="K59" i="5"/>
  <c r="I59" i="5"/>
  <c r="H59" i="5"/>
  <c r="G59" i="5"/>
  <c r="F59" i="5"/>
  <c r="E59" i="5"/>
  <c r="D59" i="5"/>
  <c r="C59" i="5"/>
  <c r="B59" i="5"/>
  <c r="N59" i="5"/>
  <c r="Q59" i="5"/>
  <c r="P59" i="5"/>
  <c r="T15" i="11"/>
  <c r="K15" i="11"/>
  <c r="K86" i="11"/>
  <c r="H15" i="11"/>
  <c r="I9" i="11"/>
  <c r="E88" i="11" s="1"/>
  <c r="E87" i="11"/>
  <c r="I14" i="11"/>
  <c r="J88" i="11" s="1"/>
  <c r="J87" i="11"/>
  <c r="N65" i="3"/>
  <c r="M65" i="3"/>
  <c r="K65" i="3"/>
  <c r="B65" i="3"/>
  <c r="L65" i="3"/>
  <c r="J65" i="3"/>
  <c r="I65" i="3"/>
  <c r="H65" i="3"/>
  <c r="G65" i="3"/>
  <c r="F65" i="3"/>
  <c r="E65" i="3"/>
  <c r="D65" i="3"/>
  <c r="C65" i="3"/>
  <c r="J71" i="3"/>
  <c r="O65" i="3"/>
  <c r="P65" i="3"/>
  <c r="Q65" i="3"/>
  <c r="C59" i="3"/>
  <c r="B59" i="3"/>
  <c r="P59" i="3"/>
  <c r="J61" i="3" s="1"/>
  <c r="G59" i="3"/>
  <c r="H59" i="3"/>
  <c r="F59" i="3"/>
  <c r="E59" i="3"/>
  <c r="D59" i="3"/>
  <c r="Q59" i="3"/>
  <c r="O59" i="3"/>
  <c r="N59" i="3"/>
  <c r="M59" i="3"/>
  <c r="L59" i="3"/>
  <c r="I59" i="3"/>
  <c r="J59" i="3"/>
  <c r="K59" i="3"/>
  <c r="I28" i="5"/>
  <c r="H28" i="5"/>
  <c r="G28" i="5"/>
  <c r="F28" i="5"/>
  <c r="E28" i="5"/>
  <c r="D28" i="5"/>
  <c r="C28" i="5"/>
  <c r="P28" i="5"/>
  <c r="Q28" i="5"/>
  <c r="O28" i="5"/>
  <c r="N28" i="5"/>
  <c r="M28" i="5"/>
  <c r="L28" i="5"/>
  <c r="K28" i="5"/>
  <c r="J28" i="5"/>
  <c r="B28" i="5"/>
  <c r="N67" i="4"/>
  <c r="M67" i="4"/>
  <c r="L67" i="4"/>
  <c r="K67" i="4"/>
  <c r="I67" i="4"/>
  <c r="H67" i="4"/>
  <c r="O67" i="4"/>
  <c r="J67" i="4"/>
  <c r="G67" i="4"/>
  <c r="F67" i="4"/>
  <c r="E67" i="4"/>
  <c r="D67" i="4"/>
  <c r="B67" i="4"/>
  <c r="P67" i="4"/>
  <c r="Q67" i="4"/>
  <c r="C67" i="4"/>
  <c r="E30" i="4"/>
  <c r="D30" i="4"/>
  <c r="C30" i="4"/>
  <c r="B30" i="4"/>
  <c r="Q30" i="4"/>
  <c r="P30" i="4"/>
  <c r="N30" i="4"/>
  <c r="M30" i="4"/>
  <c r="L30" i="4"/>
  <c r="K30" i="4"/>
  <c r="I30" i="4"/>
  <c r="O30" i="4"/>
  <c r="J30" i="4"/>
  <c r="H30" i="4"/>
  <c r="G30" i="4"/>
  <c r="F30" i="4"/>
  <c r="Q35" i="4"/>
  <c r="P35" i="4"/>
  <c r="O35" i="4"/>
  <c r="N35" i="4"/>
  <c r="M35" i="4"/>
  <c r="L35" i="4"/>
  <c r="J35" i="4"/>
  <c r="I35" i="4"/>
  <c r="H35" i="4"/>
  <c r="G35" i="4"/>
  <c r="E35" i="4"/>
  <c r="K35" i="4"/>
  <c r="F35" i="4"/>
  <c r="B35" i="4"/>
  <c r="C35" i="4"/>
  <c r="D35" i="4"/>
  <c r="G6" i="6"/>
  <c r="D6" i="6"/>
  <c r="B6" i="6"/>
  <c r="K6" i="6"/>
  <c r="J6" i="6"/>
  <c r="I6" i="6"/>
  <c r="H6" i="6"/>
  <c r="F6" i="6"/>
  <c r="E6" i="6"/>
  <c r="C6" i="6"/>
  <c r="Q6" i="6"/>
  <c r="P6" i="6"/>
  <c r="J11" i="6" s="1"/>
  <c r="O6" i="6"/>
  <c r="L6" i="6"/>
  <c r="N6" i="6"/>
  <c r="M6" i="6"/>
  <c r="L57" i="6"/>
  <c r="I57" i="6"/>
  <c r="F57" i="6"/>
  <c r="E57" i="6"/>
  <c r="Q57" i="6"/>
  <c r="P57" i="6"/>
  <c r="O57" i="6"/>
  <c r="N57" i="6"/>
  <c r="M57" i="6"/>
  <c r="K57" i="6"/>
  <c r="J57" i="6"/>
  <c r="G57" i="6"/>
  <c r="D57" i="6"/>
  <c r="B57" i="6"/>
  <c r="H57" i="6"/>
  <c r="C57" i="6"/>
  <c r="C16" i="7"/>
  <c r="B16" i="7"/>
  <c r="Q16" i="7"/>
  <c r="P16" i="7"/>
  <c r="M16" i="7"/>
  <c r="L16" i="7"/>
  <c r="O16" i="7"/>
  <c r="N16" i="7"/>
  <c r="K16" i="7"/>
  <c r="J16" i="7"/>
  <c r="I16" i="7"/>
  <c r="H16" i="7"/>
  <c r="G16" i="7"/>
  <c r="F16" i="7"/>
  <c r="E16" i="7"/>
  <c r="D16" i="7"/>
  <c r="O56" i="7"/>
  <c r="J56" i="7"/>
  <c r="I56" i="7"/>
  <c r="G56" i="7"/>
  <c r="F56" i="7"/>
  <c r="E56" i="7"/>
  <c r="C56" i="7"/>
  <c r="B56" i="7"/>
  <c r="Q56" i="7"/>
  <c r="L56" i="7"/>
  <c r="P56" i="7"/>
  <c r="J61" i="7" s="1"/>
  <c r="N56" i="7"/>
  <c r="M56" i="7"/>
  <c r="K56" i="7"/>
  <c r="H56" i="7"/>
  <c r="D56" i="7"/>
  <c r="K40" i="6"/>
  <c r="D40" i="6"/>
  <c r="B40" i="6"/>
  <c r="Q40" i="6"/>
  <c r="O40" i="6"/>
  <c r="N40" i="6"/>
  <c r="M40" i="6"/>
  <c r="J40" i="6"/>
  <c r="I40" i="6"/>
  <c r="G40" i="6"/>
  <c r="E40" i="6"/>
  <c r="C40" i="6"/>
  <c r="P40" i="6"/>
  <c r="F40" i="6"/>
  <c r="L40" i="6"/>
  <c r="H40" i="6"/>
  <c r="D66" i="6"/>
  <c r="Q66" i="6"/>
  <c r="N66" i="6"/>
  <c r="M66" i="6"/>
  <c r="P66" i="6"/>
  <c r="O66" i="6"/>
  <c r="L66" i="6"/>
  <c r="K66" i="6"/>
  <c r="J66" i="6"/>
  <c r="I66" i="6"/>
  <c r="H66" i="6"/>
  <c r="G66" i="6"/>
  <c r="F66" i="6"/>
  <c r="E66" i="6"/>
  <c r="C66" i="6"/>
  <c r="B66" i="6"/>
  <c r="F46" i="6"/>
  <c r="O46" i="6"/>
  <c r="B46" i="6"/>
  <c r="Q46" i="6"/>
  <c r="N46" i="6"/>
  <c r="M46" i="6"/>
  <c r="L46" i="6"/>
  <c r="J46" i="6"/>
  <c r="I46" i="6"/>
  <c r="G46" i="6"/>
  <c r="P46" i="6"/>
  <c r="J51" i="6" s="1"/>
  <c r="K46" i="6"/>
  <c r="H46" i="6"/>
  <c r="E46" i="6"/>
  <c r="D46" i="6"/>
  <c r="C46" i="6"/>
  <c r="C67" i="6"/>
  <c r="Q67" i="6"/>
  <c r="P67" i="6"/>
  <c r="M67" i="6"/>
  <c r="L67" i="6"/>
  <c r="O67" i="6"/>
  <c r="N67" i="6"/>
  <c r="K67" i="6"/>
  <c r="J67" i="6"/>
  <c r="I67" i="6"/>
  <c r="H67" i="6"/>
  <c r="F67" i="6"/>
  <c r="G67" i="6"/>
  <c r="E67" i="6"/>
  <c r="D67" i="6"/>
  <c r="B67" i="6"/>
  <c r="L7" i="5"/>
  <c r="K7" i="5"/>
  <c r="J7" i="5"/>
  <c r="I7" i="5"/>
  <c r="G7" i="5"/>
  <c r="F7" i="5"/>
  <c r="Q7" i="5"/>
  <c r="P7" i="5"/>
  <c r="O7" i="5"/>
  <c r="N7" i="5"/>
  <c r="M7" i="5"/>
  <c r="H7" i="5"/>
  <c r="E7" i="5"/>
  <c r="B7" i="5"/>
  <c r="D7" i="5"/>
  <c r="C7" i="5"/>
  <c r="G27" i="6"/>
  <c r="P27" i="6"/>
  <c r="L27" i="6"/>
  <c r="K27" i="6"/>
  <c r="J27" i="6"/>
  <c r="I27" i="6"/>
  <c r="F27" i="6"/>
  <c r="E27" i="6"/>
  <c r="D27" i="6"/>
  <c r="B27" i="6"/>
  <c r="Q27" i="6"/>
  <c r="O27" i="6"/>
  <c r="N27" i="6"/>
  <c r="M27" i="6"/>
  <c r="H27" i="6"/>
  <c r="C27" i="6"/>
  <c r="N20" i="4"/>
  <c r="M20" i="4"/>
  <c r="L20" i="4"/>
  <c r="K20" i="4"/>
  <c r="J20" i="4"/>
  <c r="I20" i="4"/>
  <c r="F20" i="4"/>
  <c r="D20" i="4"/>
  <c r="B20" i="4"/>
  <c r="Q20" i="4"/>
  <c r="P20" i="4"/>
  <c r="O20" i="4"/>
  <c r="H20" i="4"/>
  <c r="G20" i="4"/>
  <c r="E20" i="4"/>
  <c r="C20" i="4"/>
  <c r="D10" i="3"/>
  <c r="C10" i="3"/>
  <c r="B10" i="3"/>
  <c r="Q10" i="3"/>
  <c r="O10" i="3"/>
  <c r="N10" i="3"/>
  <c r="M10" i="3"/>
  <c r="L10" i="3"/>
  <c r="I10" i="3"/>
  <c r="J10" i="3"/>
  <c r="H10" i="3"/>
  <c r="G10" i="3"/>
  <c r="F10" i="3"/>
  <c r="E10" i="3"/>
  <c r="P10" i="3"/>
  <c r="K10" i="3"/>
  <c r="M66" i="3"/>
  <c r="L66" i="3"/>
  <c r="J66" i="3"/>
  <c r="Q66" i="3"/>
  <c r="P66" i="3"/>
  <c r="O66" i="3"/>
  <c r="N66" i="3"/>
  <c r="K66" i="3"/>
  <c r="I66" i="3"/>
  <c r="H66" i="3"/>
  <c r="G66" i="3"/>
  <c r="F66" i="3"/>
  <c r="E66" i="3"/>
  <c r="D66" i="3"/>
  <c r="C66" i="3"/>
  <c r="B66" i="3"/>
  <c r="H45" i="4"/>
  <c r="G45" i="4"/>
  <c r="F45" i="4"/>
  <c r="E45" i="4"/>
  <c r="D45" i="4"/>
  <c r="C45" i="4"/>
  <c r="Q45" i="4"/>
  <c r="P45" i="4"/>
  <c r="J51" i="4"/>
  <c r="O45" i="4"/>
  <c r="N45" i="4"/>
  <c r="L45" i="4"/>
  <c r="I45" i="4"/>
  <c r="M45" i="4"/>
  <c r="K45" i="4"/>
  <c r="J45" i="4"/>
  <c r="B45" i="4"/>
  <c r="K40" i="5"/>
  <c r="O40" i="5"/>
  <c r="N40" i="5"/>
  <c r="M40" i="5"/>
  <c r="L40" i="5"/>
  <c r="J40" i="5"/>
  <c r="I40" i="5"/>
  <c r="H40" i="5"/>
  <c r="F40" i="5"/>
  <c r="E40" i="5"/>
  <c r="P40" i="5"/>
  <c r="G40" i="5"/>
  <c r="D40" i="5"/>
  <c r="C40" i="5"/>
  <c r="B40" i="5"/>
  <c r="Q40" i="5"/>
  <c r="K26" i="5"/>
  <c r="J26" i="5"/>
  <c r="I26" i="5"/>
  <c r="H26" i="5"/>
  <c r="G26" i="5"/>
  <c r="F26" i="5"/>
  <c r="E26" i="5"/>
  <c r="B26" i="5"/>
  <c r="Q26" i="5"/>
  <c r="P26" i="5"/>
  <c r="O26" i="5"/>
  <c r="N26" i="5"/>
  <c r="M26" i="5"/>
  <c r="C26" i="5"/>
  <c r="L26" i="5"/>
  <c r="D26" i="5"/>
  <c r="O36" i="6"/>
  <c r="H36" i="6"/>
  <c r="P36" i="6"/>
  <c r="N36" i="6"/>
  <c r="M36" i="6"/>
  <c r="L36" i="6"/>
  <c r="J36" i="6"/>
  <c r="I36" i="6"/>
  <c r="G36" i="6"/>
  <c r="E36" i="6"/>
  <c r="D36" i="6"/>
  <c r="B36" i="6"/>
  <c r="Q36" i="6"/>
  <c r="K36" i="6"/>
  <c r="F36" i="6"/>
  <c r="C36" i="6"/>
  <c r="C35" i="5"/>
  <c r="B35" i="5"/>
  <c r="Q35" i="5"/>
  <c r="P35" i="5"/>
  <c r="O35" i="5"/>
  <c r="N35" i="5"/>
  <c r="M35" i="5"/>
  <c r="K35" i="5"/>
  <c r="J35" i="5"/>
  <c r="L35" i="5"/>
  <c r="I35" i="5"/>
  <c r="H35" i="5"/>
  <c r="G35" i="5"/>
  <c r="F35" i="5"/>
  <c r="E35" i="5"/>
  <c r="D35" i="5"/>
  <c r="M56" i="6"/>
  <c r="J56" i="6"/>
  <c r="G56" i="6"/>
  <c r="F56" i="6"/>
  <c r="O56" i="6"/>
  <c r="N56" i="6"/>
  <c r="L56" i="6"/>
  <c r="K56" i="6"/>
  <c r="I56" i="6"/>
  <c r="H56" i="6"/>
  <c r="E56" i="6"/>
  <c r="D56" i="6"/>
  <c r="B56" i="6"/>
  <c r="Q56" i="6"/>
  <c r="P56" i="6"/>
  <c r="J61" i="6" s="1"/>
  <c r="C56" i="6"/>
  <c r="D50" i="7"/>
  <c r="M50" i="7"/>
  <c r="L50" i="7"/>
  <c r="J50" i="7"/>
  <c r="I50" i="7"/>
  <c r="H50" i="7"/>
  <c r="F50" i="7"/>
  <c r="E50" i="7"/>
  <c r="B50" i="7"/>
  <c r="O50" i="7"/>
  <c r="P50" i="7"/>
  <c r="N50" i="7"/>
  <c r="K50" i="7"/>
  <c r="G50" i="7"/>
  <c r="C50" i="7"/>
  <c r="Q50" i="7"/>
  <c r="Q15" i="6"/>
  <c r="O15" i="6"/>
  <c r="N15" i="6"/>
  <c r="L15" i="6"/>
  <c r="K15" i="6"/>
  <c r="J15" i="6"/>
  <c r="P15" i="6"/>
  <c r="J21" i="6" s="1"/>
  <c r="M15" i="6"/>
  <c r="I15" i="6"/>
  <c r="H15" i="6"/>
  <c r="G15" i="6"/>
  <c r="F15" i="6"/>
  <c r="E15" i="6"/>
  <c r="D15" i="6"/>
  <c r="C15" i="6"/>
  <c r="B15" i="6"/>
  <c r="P19" i="7"/>
  <c r="C19" i="7"/>
  <c r="Q19" i="7"/>
  <c r="M19" i="7"/>
  <c r="L19" i="7"/>
  <c r="O19" i="7"/>
  <c r="N19" i="7"/>
  <c r="K19" i="7"/>
  <c r="J19" i="7"/>
  <c r="I19" i="7"/>
  <c r="H19" i="7"/>
  <c r="G19" i="7"/>
  <c r="F19" i="7"/>
  <c r="E19" i="7"/>
  <c r="D19" i="7"/>
  <c r="B19" i="7"/>
  <c r="E59" i="4"/>
  <c r="D59" i="4"/>
  <c r="C59" i="4"/>
  <c r="P59" i="4"/>
  <c r="O59" i="4"/>
  <c r="H59" i="4"/>
  <c r="G59" i="4"/>
  <c r="F59" i="4"/>
  <c r="B59" i="4"/>
  <c r="Q59" i="4"/>
  <c r="N59" i="4"/>
  <c r="L59" i="4"/>
  <c r="I59" i="4"/>
  <c r="M59" i="4"/>
  <c r="K59" i="4"/>
  <c r="J59" i="4"/>
  <c r="C17" i="5"/>
  <c r="B17" i="5"/>
  <c r="Q17" i="5"/>
  <c r="P17" i="5"/>
  <c r="O17" i="5"/>
  <c r="N17" i="5"/>
  <c r="M17" i="5"/>
  <c r="E17" i="5"/>
  <c r="D17" i="5"/>
  <c r="L17" i="5"/>
  <c r="K17" i="5"/>
  <c r="J17" i="5"/>
  <c r="I17" i="5"/>
  <c r="F17" i="5"/>
  <c r="H17" i="5"/>
  <c r="G17" i="5"/>
  <c r="D9" i="6"/>
  <c r="C9" i="6"/>
  <c r="Q9" i="6"/>
  <c r="P9" i="6"/>
  <c r="O9" i="6"/>
  <c r="E9" i="6"/>
  <c r="B9" i="6"/>
  <c r="N9" i="6"/>
  <c r="M9" i="6"/>
  <c r="L9" i="6"/>
  <c r="K9" i="6"/>
  <c r="J9" i="6"/>
  <c r="I9" i="6"/>
  <c r="F9" i="6"/>
  <c r="H9" i="6"/>
  <c r="G9" i="6"/>
  <c r="G18" i="11"/>
  <c r="G49" i="8"/>
  <c r="C89" i="11"/>
  <c r="K7" i="11"/>
  <c r="G10" i="4"/>
  <c r="F10" i="4"/>
  <c r="D10" i="4"/>
  <c r="C10" i="4"/>
  <c r="O10" i="4"/>
  <c r="M10" i="4"/>
  <c r="K10" i="4"/>
  <c r="Q10" i="4"/>
  <c r="P10" i="4"/>
  <c r="N10" i="4"/>
  <c r="L10" i="4"/>
  <c r="J10" i="4"/>
  <c r="I10" i="4"/>
  <c r="H10" i="4"/>
  <c r="E10" i="4"/>
  <c r="B10" i="4"/>
  <c r="I5" i="3"/>
  <c r="J11" i="3"/>
  <c r="H5" i="3"/>
  <c r="G5" i="3"/>
  <c r="F5" i="3"/>
  <c r="D5" i="3"/>
  <c r="C5" i="3"/>
  <c r="B5" i="3"/>
  <c r="Q5" i="3"/>
  <c r="N5" i="3"/>
  <c r="P5" i="3"/>
  <c r="O5" i="3"/>
  <c r="M5" i="3"/>
  <c r="K5" i="3"/>
  <c r="J5" i="3"/>
  <c r="E5" i="3"/>
  <c r="L5" i="3"/>
  <c r="D28" i="3"/>
  <c r="C28" i="3"/>
  <c r="B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M39" i="4"/>
  <c r="L39" i="4"/>
  <c r="K39" i="4"/>
  <c r="J39" i="4"/>
  <c r="I39" i="4"/>
  <c r="H39" i="4"/>
  <c r="F39" i="4"/>
  <c r="E39" i="4"/>
  <c r="D39" i="4"/>
  <c r="C39" i="4"/>
  <c r="Q39" i="4"/>
  <c r="N39" i="4"/>
  <c r="P39" i="4"/>
  <c r="J41" i="4" s="1"/>
  <c r="O39" i="4"/>
  <c r="G39" i="4"/>
  <c r="B39" i="4"/>
  <c r="N49" i="4"/>
  <c r="L49" i="4"/>
  <c r="H49" i="4"/>
  <c r="G49" i="4"/>
  <c r="F49" i="4"/>
  <c r="E49" i="4"/>
  <c r="D49" i="4"/>
  <c r="C49" i="4"/>
  <c r="Q49" i="4"/>
  <c r="P49" i="4"/>
  <c r="M49" i="4"/>
  <c r="I49" i="4"/>
  <c r="O49" i="4"/>
  <c r="K49" i="4"/>
  <c r="J49" i="4"/>
  <c r="B49" i="4"/>
  <c r="P35" i="6"/>
  <c r="I35" i="6"/>
  <c r="N35" i="6"/>
  <c r="J41" i="6"/>
  <c r="M35" i="6"/>
  <c r="L35" i="6"/>
  <c r="K35" i="6"/>
  <c r="H35" i="6"/>
  <c r="G35" i="6"/>
  <c r="F35" i="6"/>
  <c r="D35" i="6"/>
  <c r="C35" i="6"/>
  <c r="Q35" i="6"/>
  <c r="O35" i="6"/>
  <c r="J35" i="6"/>
  <c r="E35" i="6"/>
  <c r="B35" i="6"/>
  <c r="E47" i="5"/>
  <c r="L47" i="5"/>
  <c r="K47" i="5"/>
  <c r="J47" i="5"/>
  <c r="I47" i="5"/>
  <c r="H47" i="5"/>
  <c r="G47" i="5"/>
  <c r="F47" i="5"/>
  <c r="D47" i="5"/>
  <c r="C47" i="5"/>
  <c r="B47" i="5"/>
  <c r="M47" i="5"/>
  <c r="Q47" i="5"/>
  <c r="N47" i="5"/>
  <c r="P47" i="5"/>
  <c r="O47" i="5"/>
  <c r="G57" i="4"/>
  <c r="F57" i="4"/>
  <c r="E57" i="4"/>
  <c r="Q57" i="4"/>
  <c r="P57" i="4"/>
  <c r="O57" i="4"/>
  <c r="N57" i="4"/>
  <c r="M57" i="4"/>
  <c r="L57" i="4"/>
  <c r="K57" i="4"/>
  <c r="I57" i="4"/>
  <c r="H57" i="4"/>
  <c r="D57" i="4"/>
  <c r="C57" i="4"/>
  <c r="J57" i="4"/>
  <c r="B57" i="4"/>
  <c r="N37" i="6"/>
  <c r="G37" i="6"/>
  <c r="Q37" i="6"/>
  <c r="P37" i="6"/>
  <c r="O37" i="6"/>
  <c r="M37" i="6"/>
  <c r="K37" i="6"/>
  <c r="J37" i="6"/>
  <c r="I37" i="6"/>
  <c r="F37" i="6"/>
  <c r="E37" i="6"/>
  <c r="C37" i="6"/>
  <c r="D37" i="6"/>
  <c r="B37" i="6"/>
  <c r="H37" i="6"/>
  <c r="L37" i="6"/>
  <c r="M5" i="7"/>
  <c r="E5" i="7"/>
  <c r="C5" i="7"/>
  <c r="B5" i="7"/>
  <c r="P5" i="7"/>
  <c r="J11" i="7" s="1"/>
  <c r="O5" i="7"/>
  <c r="N5" i="7"/>
  <c r="L5" i="7"/>
  <c r="K5" i="7"/>
  <c r="J5" i="7"/>
  <c r="I5" i="7"/>
  <c r="H5" i="7"/>
  <c r="G5" i="7"/>
  <c r="F5" i="7"/>
  <c r="D5" i="7"/>
  <c r="Q5" i="7"/>
  <c r="G65" i="7"/>
  <c r="H65" i="7"/>
  <c r="F65" i="7"/>
  <c r="D65" i="7"/>
  <c r="C65" i="7"/>
  <c r="B65" i="7"/>
  <c r="Q65" i="7"/>
  <c r="P65" i="7"/>
  <c r="J71" i="7" s="1"/>
  <c r="O65" i="7"/>
  <c r="N65" i="7"/>
  <c r="J65" i="7"/>
  <c r="M65" i="7"/>
  <c r="L65" i="7"/>
  <c r="K65" i="7"/>
  <c r="I65" i="7"/>
  <c r="E65" i="7"/>
  <c r="L39" i="6"/>
  <c r="E39" i="6"/>
  <c r="Q39" i="6"/>
  <c r="P39" i="6"/>
  <c r="N39" i="6"/>
  <c r="M39" i="6"/>
  <c r="K39" i="6"/>
  <c r="I39" i="6"/>
  <c r="H39" i="6"/>
  <c r="F39" i="6"/>
  <c r="O39" i="6"/>
  <c r="J39" i="6"/>
  <c r="G39" i="6"/>
  <c r="D39" i="6"/>
  <c r="C39" i="6"/>
  <c r="B39" i="6"/>
  <c r="O20" i="7"/>
  <c r="C20" i="7"/>
  <c r="Q20" i="7"/>
  <c r="M20" i="7"/>
  <c r="L20" i="7"/>
  <c r="P20" i="7"/>
  <c r="N20" i="7"/>
  <c r="K20" i="7"/>
  <c r="J20" i="7"/>
  <c r="I20" i="7"/>
  <c r="H20" i="7"/>
  <c r="G20" i="7"/>
  <c r="F20" i="7"/>
  <c r="E20" i="7"/>
  <c r="D20" i="7"/>
  <c r="B20" i="7"/>
  <c r="N17" i="3"/>
  <c r="M17" i="3"/>
  <c r="L17" i="3"/>
  <c r="K17" i="3"/>
  <c r="I17" i="3"/>
  <c r="H17" i="3"/>
  <c r="G17" i="3"/>
  <c r="F17" i="3"/>
  <c r="C17" i="3"/>
  <c r="Q17" i="3"/>
  <c r="P17" i="3"/>
  <c r="O17" i="3"/>
  <c r="E17" i="3"/>
  <c r="D17" i="3"/>
  <c r="J17" i="3"/>
  <c r="B17" i="3"/>
  <c r="I25" i="6"/>
  <c r="J25" i="6"/>
  <c r="G25" i="6"/>
  <c r="F25" i="6"/>
  <c r="D25" i="6"/>
  <c r="C25" i="6"/>
  <c r="B25" i="6"/>
  <c r="Q25" i="6"/>
  <c r="O25" i="6"/>
  <c r="N25" i="6"/>
  <c r="M25" i="6"/>
  <c r="L25" i="6"/>
  <c r="K25" i="6"/>
  <c r="H25" i="6"/>
  <c r="E25" i="6"/>
  <c r="P25" i="6"/>
  <c r="J31" i="6"/>
  <c r="Q18" i="11"/>
  <c r="M18" i="11"/>
  <c r="O16" i="3"/>
  <c r="N16" i="3"/>
  <c r="M16" i="3"/>
  <c r="L16" i="3"/>
  <c r="J16" i="3"/>
  <c r="I16" i="3"/>
  <c r="H16" i="3"/>
  <c r="G16" i="3"/>
  <c r="D16" i="3"/>
  <c r="K16" i="3"/>
  <c r="F16" i="3"/>
  <c r="E16" i="3"/>
  <c r="C16" i="3"/>
  <c r="B16" i="3"/>
  <c r="Q16" i="3"/>
  <c r="P16" i="3"/>
  <c r="L40" i="4"/>
  <c r="K40" i="4"/>
  <c r="J40" i="4"/>
  <c r="I40" i="4"/>
  <c r="H40" i="4"/>
  <c r="G40" i="4"/>
  <c r="E40" i="4"/>
  <c r="D40" i="4"/>
  <c r="C40" i="4"/>
  <c r="B40" i="4"/>
  <c r="P40" i="4"/>
  <c r="M40" i="4"/>
  <c r="Q40" i="4"/>
  <c r="O40" i="4"/>
  <c r="N40" i="4"/>
  <c r="F40" i="4"/>
  <c r="O46" i="3"/>
  <c r="N46" i="3"/>
  <c r="L46" i="3"/>
  <c r="D46" i="3"/>
  <c r="C46" i="3"/>
  <c r="B46" i="3"/>
  <c r="Q46" i="3"/>
  <c r="P46" i="3"/>
  <c r="J51" i="3" s="1"/>
  <c r="M46" i="3"/>
  <c r="K46" i="3"/>
  <c r="J46" i="3"/>
  <c r="I46" i="3"/>
  <c r="H46" i="3"/>
  <c r="E46" i="3"/>
  <c r="F46" i="3"/>
  <c r="G46" i="3"/>
  <c r="M6" i="5"/>
  <c r="L6" i="5"/>
  <c r="K6" i="5"/>
  <c r="J6" i="5"/>
  <c r="H6" i="5"/>
  <c r="G6" i="5"/>
  <c r="Q6" i="5"/>
  <c r="P6" i="5"/>
  <c r="J11" i="5" s="1"/>
  <c r="O6" i="5"/>
  <c r="N6" i="5"/>
  <c r="I6" i="5"/>
  <c r="F6" i="5"/>
  <c r="E6" i="5"/>
  <c r="D6" i="5"/>
  <c r="C6" i="5"/>
  <c r="B6" i="5"/>
  <c r="I55" i="4"/>
  <c r="H55" i="4"/>
  <c r="G55" i="4"/>
  <c r="K55" i="4"/>
  <c r="J55" i="4"/>
  <c r="F55" i="4"/>
  <c r="E55" i="4"/>
  <c r="D55" i="4"/>
  <c r="C55" i="4"/>
  <c r="Q55" i="4"/>
  <c r="O55" i="4"/>
  <c r="L55" i="4"/>
  <c r="P55" i="4"/>
  <c r="J61" i="4" s="1"/>
  <c r="N55" i="4"/>
  <c r="M55" i="4"/>
  <c r="B55" i="4"/>
  <c r="C40" i="3"/>
  <c r="Q40" i="3"/>
  <c r="B40" i="3"/>
  <c r="P40" i="3"/>
  <c r="O40" i="3"/>
  <c r="N40" i="3"/>
  <c r="M40" i="3"/>
  <c r="L40" i="3"/>
  <c r="K40" i="3"/>
  <c r="J40" i="3"/>
  <c r="I40" i="3"/>
  <c r="H40" i="3"/>
  <c r="G40" i="3"/>
  <c r="D40" i="3"/>
  <c r="F40" i="3"/>
  <c r="E40" i="3"/>
  <c r="P38" i="5"/>
  <c r="J41" i="5" s="1"/>
  <c r="O38" i="5"/>
  <c r="N38" i="5"/>
  <c r="M38" i="5"/>
  <c r="L38" i="5"/>
  <c r="K38" i="5"/>
  <c r="J38" i="5"/>
  <c r="H38" i="5"/>
  <c r="G38" i="5"/>
  <c r="Q38" i="5"/>
  <c r="C38" i="5"/>
  <c r="B38" i="5"/>
  <c r="I38" i="5"/>
  <c r="D38" i="5"/>
  <c r="E38" i="5"/>
  <c r="F38" i="5"/>
  <c r="G30" i="5"/>
  <c r="F30" i="5"/>
  <c r="E30" i="5"/>
  <c r="D30" i="5"/>
  <c r="C30" i="5"/>
  <c r="B30" i="5"/>
  <c r="Q30" i="5"/>
  <c r="O30" i="5"/>
  <c r="N30" i="5"/>
  <c r="P30" i="5"/>
  <c r="M30" i="5"/>
  <c r="L30" i="5"/>
  <c r="K30" i="5"/>
  <c r="J30" i="5"/>
  <c r="I30" i="5"/>
  <c r="H30" i="5"/>
  <c r="B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E67" i="7"/>
  <c r="H67" i="7"/>
  <c r="G67" i="7"/>
  <c r="D67" i="7"/>
  <c r="C67" i="7"/>
  <c r="B67" i="7"/>
  <c r="Q67" i="7"/>
  <c r="P67" i="7"/>
  <c r="O67" i="7"/>
  <c r="N67" i="7"/>
  <c r="J67" i="7"/>
  <c r="M67" i="7"/>
  <c r="L67" i="7"/>
  <c r="K67" i="7"/>
  <c r="I67" i="7"/>
  <c r="F67" i="7"/>
  <c r="C49" i="6"/>
  <c r="M49" i="6"/>
  <c r="L49" i="6"/>
  <c r="F49" i="6"/>
  <c r="E49" i="6"/>
  <c r="D49" i="6"/>
  <c r="B49" i="6"/>
  <c r="Q49" i="6"/>
  <c r="O49" i="6"/>
  <c r="N49" i="6"/>
  <c r="J49" i="6"/>
  <c r="P49" i="6"/>
  <c r="K49" i="6"/>
  <c r="I49" i="6"/>
  <c r="H49" i="6"/>
  <c r="G49" i="6"/>
  <c r="G45" i="6"/>
  <c r="P45" i="6"/>
  <c r="Q45" i="6"/>
  <c r="O45" i="6"/>
  <c r="M45" i="6"/>
  <c r="L45" i="6"/>
  <c r="K45" i="6"/>
  <c r="I45" i="6"/>
  <c r="H45" i="6"/>
  <c r="E45" i="6"/>
  <c r="N45" i="6"/>
  <c r="J45" i="6"/>
  <c r="F45" i="6"/>
  <c r="D45" i="6"/>
  <c r="C45" i="6"/>
  <c r="B45" i="6"/>
  <c r="Q69" i="6"/>
  <c r="O69" i="6"/>
  <c r="N69" i="6"/>
  <c r="K69" i="6"/>
  <c r="J69" i="6"/>
  <c r="L69" i="6"/>
  <c r="I69" i="6"/>
  <c r="H69" i="6"/>
  <c r="G69" i="6"/>
  <c r="F69" i="6"/>
  <c r="E69" i="6"/>
  <c r="D69" i="6"/>
  <c r="C69" i="6"/>
  <c r="B69" i="6"/>
  <c r="P69" i="6"/>
  <c r="M69" i="6"/>
  <c r="E38" i="3" l="1"/>
  <c r="Q38" i="3"/>
  <c r="P38" i="3"/>
  <c r="J41" i="3" s="1"/>
  <c r="O38" i="3"/>
  <c r="N38" i="3"/>
  <c r="M38" i="3"/>
  <c r="L38" i="3"/>
  <c r="K38" i="3"/>
  <c r="J38" i="3"/>
  <c r="I38" i="3"/>
  <c r="H38" i="3"/>
  <c r="G38" i="3"/>
  <c r="F38" i="3"/>
  <c r="D38" i="3"/>
  <c r="C38" i="3"/>
  <c r="B38" i="3"/>
  <c r="M18" i="3"/>
  <c r="L18" i="3"/>
  <c r="K18" i="3"/>
  <c r="J18" i="3"/>
  <c r="H18" i="3"/>
  <c r="G18" i="3"/>
  <c r="F18" i="3"/>
  <c r="E18" i="3"/>
  <c r="B18" i="3"/>
  <c r="Q18" i="3"/>
  <c r="P18" i="3"/>
  <c r="J21" i="3" s="1"/>
  <c r="O18" i="3"/>
  <c r="N18" i="3"/>
  <c r="I18" i="3"/>
  <c r="D18" i="3"/>
  <c r="C18" i="3"/>
  <c r="H18" i="11"/>
  <c r="K20" i="3"/>
  <c r="J20" i="3"/>
  <c r="I20" i="3"/>
  <c r="H20" i="3"/>
  <c r="F20" i="3"/>
  <c r="E20" i="3"/>
  <c r="D20" i="3"/>
  <c r="C20" i="3"/>
  <c r="Q20" i="3"/>
  <c r="P20" i="3"/>
  <c r="O20" i="3"/>
  <c r="N20" i="3"/>
  <c r="M20" i="3"/>
  <c r="L20" i="3"/>
  <c r="G20" i="3"/>
  <c r="B20" i="3"/>
  <c r="E27" i="3"/>
  <c r="D27" i="3"/>
  <c r="C27" i="3"/>
  <c r="B27" i="3"/>
  <c r="Q27" i="3"/>
  <c r="P27" i="3"/>
  <c r="J31" i="3" s="1"/>
  <c r="O27" i="3"/>
  <c r="N27" i="3"/>
  <c r="M27" i="3"/>
  <c r="L27" i="3"/>
  <c r="K27" i="3"/>
  <c r="J27" i="3"/>
  <c r="I27" i="3"/>
  <c r="G27" i="3"/>
  <c r="F27" i="3"/>
  <c r="H27" i="3"/>
  <c r="K18" i="11"/>
  <c r="K5" i="8"/>
  <c r="AT5" i="1"/>
  <c r="O18" i="11"/>
  <c r="I18" i="11"/>
</calcChain>
</file>

<file path=xl/sharedStrings.xml><?xml version="1.0" encoding="utf-8"?>
<sst xmlns="http://schemas.openxmlformats.org/spreadsheetml/2006/main" count="1162" uniqueCount="303">
  <si>
    <t>⚡ FUENTE ÚNICA DE DATOS — Administración rellena aquí → Se propaga automáticamente a hojas de técnicos | v6.0 | 2026</t>
  </si>
  <si>
    <t>📋 IDENTIFICACIÓN</t>
  </si>
  <si>
    <t>🔧 CLASIFICACIÓN Y ORIGEN</t>
  </si>
  <si>
    <t>👷 ASIGNACIÓN</t>
  </si>
  <si>
    <t>⏱ TIEMPOS, DESPLAZAMIENTO Y EJECUCIÓN</t>
  </si>
  <si>
    <t>📦 MATERIAL Y PRESUPUESTO</t>
  </si>
  <si>
    <t>📊 RESULTADO, COSTES Y RENDIMIENTO</t>
  </si>
  <si>
    <t>ID INCIDENCIA</t>
  </si>
  <si>
    <t>FECHA APERTURA</t>
  </si>
  <si>
    <t>HORA APERTURA</t>
  </si>
  <si>
    <t>N.º ABONADO</t>
  </si>
  <si>
    <t>ID CLIENTE</t>
  </si>
  <si>
    <t>CLIENTE / RAZÓN SOCIAL</t>
  </si>
  <si>
    <t>DIRECCIÓN</t>
  </si>
  <si>
    <t>MUNICIPIO</t>
  </si>
  <si>
    <t>PROVINCIA</t>
  </si>
  <si>
    <t>ENLACE UBICACIÓN</t>
  </si>
  <si>
    <t>TIPO INCIDENCIA</t>
  </si>
  <si>
    <t>PRIORIDAD</t>
  </si>
  <si>
    <t>ORIGEN INCIDENCIA</t>
  </si>
  <si>
    <t>PERSONA QUE ASIGNA</t>
  </si>
  <si>
    <t>SISTEMA AVERIADO</t>
  </si>
  <si>
    <t>EQUIPO / MODELO</t>
  </si>
  <si>
    <t>ZONA / CÁMARA</t>
  </si>
  <si>
    <t>DESCRIPCIÓN INCIDENCIA</t>
  </si>
  <si>
    <t>TÉCNICO ASIGNADO</t>
  </si>
  <si>
    <t>FECHA PREVISTA VISITA</t>
  </si>
  <si>
    <t>HORA PREVISTA</t>
  </si>
  <si>
    <t>KM IDA</t>
  </si>
  <si>
    <t>KM VUELTA</t>
  </si>
  <si>
    <t>KM TOTALES</t>
  </si>
  <si>
    <t>COSTE DESPLAZAMIENTO (€)</t>
  </si>
  <si>
    <t>T. DESPLAZAMIENTO TOTAL (min)</t>
  </si>
  <si>
    <t>T. ESTIMADO INCIDENCIA (min)</t>
  </si>
  <si>
    <t>T. REAL INCIDENCIA (min)</t>
  </si>
  <si>
    <t>T. TOTAL TRABAJO (min)</t>
  </si>
  <si>
    <t>N.º VISITA</t>
  </si>
  <si>
    <t>MOTIVO REVISITA</t>
  </si>
  <si>
    <t>MATERIAL ASIGNADO</t>
  </si>
  <si>
    <t>COSTE MATERIALES (€)</t>
  </si>
  <si>
    <t>REQUIERE PRESUPUESTO</t>
  </si>
  <si>
    <t>IMPORTE PRESUPUESTO (€)</t>
  </si>
  <si>
    <t>PRESUPUESTO ACEPTADO</t>
  </si>
  <si>
    <t>ESTADO</t>
  </si>
  <si>
    <t>RESULTADO FINAL</t>
  </si>
  <si>
    <t>FECHA CIERRE</t>
  </si>
  <si>
    <t>HORA CIERRE</t>
  </si>
  <si>
    <t>T. RESOLUCIÓN (h)</t>
  </si>
  <si>
    <t>COSTE HORA TÉC. (€/h)</t>
  </si>
  <si>
    <t>COSTE MANO OBRA (€)</t>
  </si>
  <si>
    <t>COSTE DESPLAZ. (€)</t>
  </si>
  <si>
    <t>COSTE TOTAL INCIDENCIA (€)</t>
  </si>
  <si>
    <t>RENTABLE</t>
  </si>
  <si>
    <t>VERIFICACIÓN NOCTURNA CRA</t>
  </si>
  <si>
    <t>OPERADOR NOCTURNO</t>
  </si>
  <si>
    <t>OBSERVACIONES / RESOLUCIÓN</t>
  </si>
  <si>
    <t>_KEY</t>
  </si>
  <si>
    <t>_N</t>
  </si>
  <si>
    <t>CONFIGURACIÓN DE SEMANA</t>
  </si>
  <si>
    <t>⚠️ Cambia la fecha del LUNES → todo se actualiza automáticamente</t>
  </si>
  <si>
    <t>FECHA DEL LUNES:</t>
  </si>
  <si>
    <t>DÍA</t>
  </si>
  <si>
    <t>FECHA</t>
  </si>
  <si>
    <t>FESTIVO</t>
  </si>
  <si>
    <t>NOTAS</t>
  </si>
  <si>
    <t>AVERÍAS PROG.</t>
  </si>
  <si>
    <t>LUNES</t>
  </si>
  <si>
    <t>MARTES</t>
  </si>
  <si>
    <t>MIÉRCOLES</t>
  </si>
  <si>
    <t>JUEVES</t>
  </si>
  <si>
    <t>VIERNES</t>
  </si>
  <si>
    <t>SÁBADO</t>
  </si>
  <si>
    <t>DOMINGO</t>
  </si>
  <si>
    <t>COSTES REFERENCIA</t>
  </si>
  <si>
    <t>TÉCNICO</t>
  </si>
  <si>
    <t>€/HORA</t>
  </si>
  <si>
    <t>TELÉFONO</t>
  </si>
  <si>
    <t>Raúl</t>
  </si>
  <si>
    <t>Juan Luis</t>
  </si>
  <si>
    <t>Paco</t>
  </si>
  <si>
    <t>Juan Manuel</t>
  </si>
  <si>
    <t>Adrián</t>
  </si>
  <si>
    <t>COSTE POR KM:</t>
  </si>
  <si>
    <t>CALENDARIO SEMANAL — RAÚL (15.80 €/h)</t>
  </si>
  <si>
    <t>🔄 Automático desde Registro | 🟢 Verde = Nocturna (Adrián / Christian / Alejandro)</t>
  </si>
  <si>
    <t>N.º</t>
  </si>
  <si>
    <t>HORA</t>
  </si>
  <si>
    <t>ID INCID.</t>
  </si>
  <si>
    <t>ABONADO</t>
  </si>
  <si>
    <t>CLIENTE</t>
  </si>
  <si>
    <t>SISTEMA</t>
  </si>
  <si>
    <t>DESCRIPCIÓN</t>
  </si>
  <si>
    <t>MATERIAL</t>
  </si>
  <si>
    <t>PRESUP.</t>
  </si>
  <si>
    <t>VISITA</t>
  </si>
  <si>
    <t>🟢 VERIFICACIÓN NOCTURNA</t>
  </si>
  <si>
    <t>🟢 OPERADOR</t>
  </si>
  <si>
    <t>🟢 SISTEMA PENDIENTE</t>
  </si>
  <si>
    <t>🟢 INFO EXTRA</t>
  </si>
  <si>
    <t>RESUMEN SEMANAL — RAÚL</t>
  </si>
  <si>
    <t>Total averías semana</t>
  </si>
  <si>
    <t>✅ Resueltas</t>
  </si>
  <si>
    <t>❌ No resueltas</t>
  </si>
  <si>
    <t>⏸ Pospuestas</t>
  </si>
  <si>
    <t>Revisitas (visita &gt;1)</t>
  </si>
  <si>
    <t>— por fallo técnico</t>
  </si>
  <si>
    <t>— por falta material</t>
  </si>
  <si>
    <t>Coste total semana (€)</t>
  </si>
  <si>
    <t>KM totales semana</t>
  </si>
  <si>
    <t>CALENDARIO SEMANAL — JUAN LUIS (17.50 €/h)</t>
  </si>
  <si>
    <t>RESUMEN SEMANAL — JUAN LUIS</t>
  </si>
  <si>
    <t>CALENDARIO SEMANAL — PACO (13.50 €/h)</t>
  </si>
  <si>
    <t>RESUMEN SEMANAL — PACO</t>
  </si>
  <si>
    <t>CALENDARIO SEMANAL — JUAN MANUEL (18.90 €/h)</t>
  </si>
  <si>
    <t>RESUMEN SEMANAL — JUAN MANUEL</t>
  </si>
  <si>
    <t>CALENDARIO SEMANAL — ADRIÁN (13.50 €/h)</t>
  </si>
  <si>
    <t>RESUMEN SEMANAL — ADRIÁN</t>
  </si>
  <si>
    <t>DASHBOARD KPIs — SERVICIO TÉCNICO CRA</t>
  </si>
  <si>
    <t>Cálculo automático desde Registro General</t>
  </si>
  <si>
    <t>TOTAL INCID.</t>
  </si>
  <si>
    <t>RESUELTAS</t>
  </si>
  <si>
    <t>PENDIENTES</t>
  </si>
  <si>
    <t>TASA RESOL.</t>
  </si>
  <si>
    <t>MEDIA RESOL.(h)</t>
  </si>
  <si>
    <t>COSTE TOTAL</t>
  </si>
  <si>
    <t>💰 COSTES DESGLOSADOS</t>
  </si>
  <si>
    <t>MANO OBRA</t>
  </si>
  <si>
    <t>MATERIALES</t>
  </si>
  <si>
    <t>DESPLAZAM.</t>
  </si>
  <si>
    <t>REVISITAS</t>
  </si>
  <si>
    <t>TASA 1ª VIS.</t>
  </si>
  <si>
    <t>🔄 MOTIVOS DE REVISITA</t>
  </si>
  <si>
    <t>MOTIVO</t>
  </si>
  <si>
    <t>%</t>
  </si>
  <si>
    <t>COSTE(€)</t>
  </si>
  <si>
    <t>RESPONSABLE</t>
  </si>
  <si>
    <t>ACCIÓN</t>
  </si>
  <si>
    <t>Fallo del técnico</t>
  </si>
  <si>
    <t>Empresa</t>
  </si>
  <si>
    <t>Falta de material</t>
  </si>
  <si>
    <t>Material incorrecto</t>
  </si>
  <si>
    <t>Causa del cliente</t>
  </si>
  <si>
    <t>Cliente</t>
  </si>
  <si>
    <t>Ampliación de trabajo</t>
  </si>
  <si>
    <t>Operativo</t>
  </si>
  <si>
    <t>Continuar instalación</t>
  </si>
  <si>
    <t>Avería recurrente</t>
  </si>
  <si>
    <t>Cambio de presupuesto</t>
  </si>
  <si>
    <t>Condiciones meteorológicas</t>
  </si>
  <si>
    <t>Acceso denegado</t>
  </si>
  <si>
    <t>Otro motivo</t>
  </si>
  <si>
    <t>👷 RENDIMIENTO POR TÉCNICO</t>
  </si>
  <si>
    <t>€/h</t>
  </si>
  <si>
    <t>ASIGN.</t>
  </si>
  <si>
    <t>RESUEL.</t>
  </si>
  <si>
    <t>TASA</t>
  </si>
  <si>
    <t>REVIS.</t>
  </si>
  <si>
    <t>FALLO TÉC.</t>
  </si>
  <si>
    <t>M.OBRA(€)</t>
  </si>
  <si>
    <t>DESPLAZ.(€)</t>
  </si>
  <si>
    <t>KM</t>
  </si>
  <si>
    <t>MAT.(€)</t>
  </si>
  <si>
    <t>TOTAL(€)</t>
  </si>
  <si>
    <t>📋 ORIGEN INCIDENCIAS</t>
  </si>
  <si>
    <t>ORIGEN</t>
  </si>
  <si>
    <t>PEND.</t>
  </si>
  <si>
    <t>Iberdesk</t>
  </si>
  <si>
    <t>Receptora día</t>
  </si>
  <si>
    <t>Receptora noche</t>
  </si>
  <si>
    <t>Administración</t>
  </si>
  <si>
    <t>Coordinación</t>
  </si>
  <si>
    <t>Cliente directo</t>
  </si>
  <si>
    <t>Técnico campo</t>
  </si>
  <si>
    <t>Gerente</t>
  </si>
  <si>
    <t>Mant. programado</t>
  </si>
  <si>
    <t>📅 KPIs POR MES SELECCIONADO</t>
  </si>
  <si>
    <t>MES:</t>
  </si>
  <si>
    <t>Febrero</t>
  </si>
  <si>
    <t>INCID. MES</t>
  </si>
  <si>
    <t>COSTE MES</t>
  </si>
  <si>
    <t>👷 TÉCNICOS — MES SELECCIONADO</t>
  </si>
  <si>
    <t>FALLO</t>
  </si>
  <si>
    <t>DESPL.(€)</t>
  </si>
  <si>
    <t>INVENTARIO DE MATERIALES — PRECIOS EDITABLES</t>
  </si>
  <si>
    <t>✏️ Puedes cambiar precios, añadir materiales y modificar proveedores libremente</t>
  </si>
  <si>
    <t>CÓDIGO</t>
  </si>
  <si>
    <t>CATEGORÍA</t>
  </si>
  <si>
    <t>STOCK</t>
  </si>
  <si>
    <t>MÍN.</t>
  </si>
  <si>
    <t>PROVEEDOR</t>
  </si>
  <si>
    <t>P.UNIT.(€)</t>
  </si>
  <si>
    <t>P.ACTUAL(€)</t>
  </si>
  <si>
    <t>ASIGNADO</t>
  </si>
  <si>
    <t>MAT-001</t>
  </si>
  <si>
    <t>Cámara IP bullet 4MP</t>
  </si>
  <si>
    <t>CCTV</t>
  </si>
  <si>
    <t>Distrib. CCTV</t>
  </si>
  <si>
    <t>MAT-002</t>
  </si>
  <si>
    <t>Cámara IP domo 2MP</t>
  </si>
  <si>
    <t>MAT-003</t>
  </si>
  <si>
    <t>Grabador NVR 8ch</t>
  </si>
  <si>
    <t>MAT-004</t>
  </si>
  <si>
    <t>Disco duro 4TB</t>
  </si>
  <si>
    <t>MAT-005</t>
  </si>
  <si>
    <t>Fuente 12V 5A</t>
  </si>
  <si>
    <t>Alimentación</t>
  </si>
  <si>
    <t>Electr. Murcia</t>
  </si>
  <si>
    <t>MAT-006</t>
  </si>
  <si>
    <t>SAI 600VA</t>
  </si>
  <si>
    <t>MAT-007</t>
  </si>
  <si>
    <t>Detector PIR</t>
  </si>
  <si>
    <t>Alarma</t>
  </si>
  <si>
    <t>Ajax Systems</t>
  </si>
  <si>
    <t>MAT-008</t>
  </si>
  <si>
    <t>Contacto magnético</t>
  </si>
  <si>
    <t>MAT-009</t>
  </si>
  <si>
    <t>Módulo GSM/GPRS</t>
  </si>
  <si>
    <t>Comunicaciones</t>
  </si>
  <si>
    <t>Varios</t>
  </si>
  <si>
    <t>MAT-010</t>
  </si>
  <si>
    <t>Cable UTP Cat6 100m</t>
  </si>
  <si>
    <t>Cableado</t>
  </si>
  <si>
    <t>Cabling Store</t>
  </si>
  <si>
    <t>MAT-011</t>
  </si>
  <si>
    <t>Cable coaxial 100m</t>
  </si>
  <si>
    <t>MAT-012</t>
  </si>
  <si>
    <t>Switch PoE 8p</t>
  </si>
  <si>
    <t>Red</t>
  </si>
  <si>
    <t>MAT-013</t>
  </si>
  <si>
    <t>Sirena exterior</t>
  </si>
  <si>
    <t>MAT-014</t>
  </si>
  <si>
    <t>Batería 12V 7Ah</t>
  </si>
  <si>
    <t>MAT-015</t>
  </si>
  <si>
    <t>Hub Ajax 2 Plus</t>
  </si>
  <si>
    <t>CONFIGURACIÓN Y PARÁMETROS</t>
  </si>
  <si>
    <t>T. MÁX.</t>
  </si>
  <si>
    <t>🔴 CRÍTICA</t>
  </si>
  <si>
    <t>4h</t>
  </si>
  <si>
    <t>Servicio caído</t>
  </si>
  <si>
    <t>🟠 ALTA</t>
  </si>
  <si>
    <t>8h</t>
  </si>
  <si>
    <t>Afecta monitorización</t>
  </si>
  <si>
    <t>🟡 MEDIA</t>
  </si>
  <si>
    <t>24h</t>
  </si>
  <si>
    <t>Degradación parcial</t>
  </si>
  <si>
    <t>🟢 BAJA</t>
  </si>
  <si>
    <t>72h</t>
  </si>
  <si>
    <t>No urgente</t>
  </si>
  <si>
    <t>COSTE/KM:</t>
  </si>
  <si>
    <t>LEYENDA COLORES:</t>
  </si>
  <si>
    <t>✅ Resuelta/Cerrada</t>
  </si>
  <si>
    <t>⏸ Pospuesta/Espera</t>
  </si>
  <si>
    <t>❌ No resuelta</t>
  </si>
  <si>
    <t>HISTÓRICO MENSUAL 2026 — REGISTRO PERMANENTE DE KPIs</t>
  </si>
  <si>
    <t>📌 Automático desde Registro General — Los datos se mantienen aunque cambies la semana activa</t>
  </si>
  <si>
    <t>📋 RESUMEN MENSUAL GENERAL</t>
  </si>
  <si>
    <t>MES</t>
  </si>
  <si>
    <t>INICIO</t>
  </si>
  <si>
    <t>FIN</t>
  </si>
  <si>
    <t>TOTAL</t>
  </si>
  <si>
    <t>NO RESUEL.</t>
  </si>
  <si>
    <t>POSPU.</t>
  </si>
  <si>
    <t>TASA 1ªVIS.</t>
  </si>
  <si>
    <t>MEDIA H</t>
  </si>
  <si>
    <t>PRESUP.EM.</t>
  </si>
  <si>
    <t>PRESUP.AC.</t>
  </si>
  <si>
    <t>INC./DÍA</t>
  </si>
  <si>
    <t>Enero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</si>
  <si>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</si>
  <si>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</si>
  <si>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</si>
  <si>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</si>
  <si>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</si>
  <si>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</si>
  <si>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</si>
  <si>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</si>
  <si>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</si>
  <si>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</si>
  <si>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 2026</t>
  </si>
  <si>
    <t>👷 RENDIMIENTO MENSUAL POR TÉCNICO</t>
  </si>
  <si>
    <t>FALTA MAT.</t>
  </si>
  <si>
    <t>CAUSA CLI.</t>
  </si>
  <si>
    <t>📈 COMPARATIVA MENSUAL</t>
  </si>
  <si>
    <t>MÉTRICA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</si>
  <si>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</si>
  <si>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</si>
  <si>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</si>
  <si>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</si>
  <si>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</si>
  <si>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</si>
  <si>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</si>
  <si>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</si>
  <si>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</si>
  <si>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</si>
  <si>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</si>
  <si>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</si>
  <si>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incidencias</t>
  </si>
  <si>
    <t>Resueltas</t>
  </si>
  <si>
    <t>Tasa resolución</t>
  </si>
  <si>
    <t>Revisitas</t>
  </si>
  <si>
    <t>Coste total (€)</t>
  </si>
  <si>
    <t>KM totales</t>
  </si>
  <si>
    <t>REGISTRO GENERAL DE INCIDENCIAS TÉCNICAS — CRA IBERCRA / GAMA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</si>
</sst>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h:mm"/>
    <numFmt numFmtId="165" formatCode="#,##0.00&quot; €&quot;"/>
    <numFmt numFmtId="166" formatCode="0.0"/>
    <numFmt numFmtId="167" formatCode="0.0%"/>
    <numFmt numFmtId="168" formatCode="mm/dd/yy"/>
  </numFmts>
  <fonts count="40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i/>
      <sz val="9"/>
      <color rgb="FFFFFFFF"/>
      <name val="Calibri"/>
      <charset val="1"/>
    </font>
    <font>
      <b/>
      <sz val="10"/>
      <color rgb="FFFFFFFF"/>
      <name val="Calibri"/>
      <charset val="1"/>
    </font>
    <font>
      <sz val="8"/>
      <color rgb="FFAAAAAA"/>
      <name val="Calibri"/>
      <charset val="1"/>
    </font>
    <font>
      <sz val="10"/>
      <name val="Calibri"/>
      <charset val="1"/>
    </font>
    <font>
      <b/>
      <i/>
      <sz val="10"/>
      <color rgb="FFFFFFFF"/>
      <name val="Calibri"/>
      <charset val="1"/>
    </font>
    <font>
      <b/>
      <sz val="12"/>
      <color rgb="FF1A2744"/>
      <name val="Calibri"/>
      <charset val="1"/>
    </font>
    <font>
      <b/>
      <sz val="18"/>
      <color rgb="FFC0392B"/>
      <name val="Calibri"/>
      <charset val="1"/>
    </font>
    <font>
      <b/>
      <sz val="11"/>
      <color rgb="FF2B5EA7"/>
      <name val="Calibri"/>
      <charset val="1"/>
    </font>
    <font>
      <b/>
      <sz val="12"/>
      <name val="Calibri"/>
      <charset val="1"/>
    </font>
    <font>
      <b/>
      <sz val="10"/>
      <name val="Calibri"/>
      <charset val="1"/>
    </font>
    <font>
      <b/>
      <sz val="11"/>
      <color rgb="FFD35400"/>
      <name val="Calibri"/>
      <charset val="1"/>
    </font>
    <font>
      <b/>
      <sz val="11"/>
      <color rgb="FF27AE60"/>
      <name val="Calibri"/>
      <charset val="1"/>
    </font>
    <font>
      <b/>
      <sz val="11"/>
      <color rgb="FF6C3483"/>
      <name val="Calibri"/>
      <charset val="1"/>
    </font>
    <font>
      <b/>
      <sz val="11"/>
      <color rgb="FFC0392B"/>
      <name val="Calibri"/>
      <charset val="1"/>
    </font>
    <font>
      <b/>
      <sz val="11"/>
      <color rgb="FFB7950B"/>
      <name val="Calibri"/>
      <charset val="1"/>
    </font>
    <font>
      <b/>
      <sz val="11"/>
      <color rgb="FF5D6D7E"/>
      <name val="Calibri"/>
      <charset val="1"/>
    </font>
    <font>
      <b/>
      <sz val="12"/>
      <color rgb="FFC0392B"/>
      <name val="Calibri"/>
      <charset val="1"/>
    </font>
    <font>
      <b/>
      <sz val="14"/>
      <color rgb="FFC0392B"/>
      <name val="Calibri"/>
      <charset val="1"/>
    </font>
    <font>
      <b/>
      <sz val="12"/>
      <color rgb="FFFFFFFF"/>
      <name val="Calibri"/>
      <charset val="1"/>
    </font>
    <font>
      <b/>
      <sz val="9"/>
      <color rgb="FFFFFFFF"/>
      <name val="Calibri"/>
      <charset val="1"/>
    </font>
    <font>
      <b/>
      <sz val="10"/>
      <color rgb="FF2B5EA7"/>
      <name val="Calibri"/>
      <charset val="1"/>
    </font>
    <font>
      <b/>
      <sz val="10"/>
      <color rgb="FF1A5276"/>
      <name val="Calibri"/>
      <charset val="1"/>
    </font>
    <font>
      <b/>
      <sz val="10"/>
      <color rgb="FFD35400"/>
      <name val="Calibri"/>
      <charset val="1"/>
    </font>
    <font>
      <b/>
      <sz val="10"/>
      <color rgb="FF27AE60"/>
      <name val="Calibri"/>
      <charset val="1"/>
    </font>
    <font>
      <b/>
      <sz val="10"/>
      <color rgb="FF6C3483"/>
      <name val="Calibri"/>
      <charset val="1"/>
    </font>
    <font>
      <b/>
      <sz val="10"/>
      <color rgb="FFC0392B"/>
      <name val="Calibri"/>
      <charset val="1"/>
    </font>
    <font>
      <b/>
      <sz val="10"/>
      <color rgb="FFB7950B"/>
      <name val="Calibri"/>
      <charset val="1"/>
    </font>
    <font>
      <b/>
      <sz val="10"/>
      <color rgb="FF5D6D7E"/>
      <name val="Calibri"/>
      <charset val="1"/>
    </font>
    <font>
      <b/>
      <sz val="14"/>
      <color rgb="FF2B5EA7"/>
      <name val="Calibri"/>
      <charset val="1"/>
    </font>
    <font>
      <b/>
      <sz val="14"/>
      <color rgb="FFD35400"/>
      <name val="Calibri"/>
      <charset val="1"/>
    </font>
    <font>
      <b/>
      <sz val="14"/>
      <color rgb="FF27AE60"/>
      <name val="Calibri"/>
      <charset val="1"/>
    </font>
    <font>
      <b/>
      <sz val="14"/>
      <color rgb="FF6C3483"/>
      <name val="Calibri"/>
      <charset val="1"/>
    </font>
    <font>
      <b/>
      <sz val="14"/>
      <color rgb="FF2980B9"/>
      <name val="Calibri"/>
      <charset val="1"/>
    </font>
    <font>
      <i/>
      <sz val="9"/>
      <color rgb="FFFFFFFF"/>
      <name val="Calibri"/>
      <charset val="1"/>
    </font>
    <font>
      <b/>
      <sz val="20"/>
      <color rgb="FF1A2744"/>
      <name val="Calibri"/>
      <charset val="1"/>
    </font>
    <font>
      <b/>
      <sz val="16"/>
      <color rgb="FFB7950B"/>
      <name val="Calibri"/>
      <charset val="1"/>
    </font>
    <font>
      <sz val="1"/>
      <color rgb="FFFFFFFF"/>
      <name val="Calibri"/>
      <charset val="1"/>
    </font>
    <font>
      <b/>
      <sz val="16"/>
      <color rgb="FF1A2744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1A2744"/>
        <bgColor rgb="FF333300"/>
      </patternFill>
    </fill>
    <fill>
      <patternFill patternType="solid">
        <fgColor rgb="FFC0392B"/>
        <bgColor rgb="FFD35400"/>
      </patternFill>
    </fill>
    <fill>
      <patternFill patternType="solid">
        <fgColor rgb="FF2B5EA7"/>
        <bgColor rgb="FF1A5276"/>
      </patternFill>
    </fill>
    <fill>
      <patternFill patternType="solid">
        <fgColor rgb="FFD35400"/>
        <bgColor rgb="FFC0392B"/>
      </patternFill>
    </fill>
    <fill>
      <patternFill patternType="solid">
        <fgColor rgb="FF27AE60"/>
        <bgColor rgb="FF70AD47"/>
      </patternFill>
    </fill>
    <fill>
      <patternFill patternType="solid">
        <fgColor rgb="FF2980B9"/>
        <bgColor rgb="FF2B5EA7"/>
      </patternFill>
    </fill>
    <fill>
      <patternFill patternType="solid">
        <fgColor rgb="FFB7950B"/>
        <bgColor rgb="FFED7D31"/>
      </patternFill>
    </fill>
    <fill>
      <patternFill patternType="solid">
        <fgColor rgb="FF6C3483"/>
        <bgColor rgb="FF333399"/>
      </patternFill>
    </fill>
    <fill>
      <patternFill patternType="solid">
        <fgColor rgb="FFFFFFFF"/>
        <bgColor rgb="FFFEF9E7"/>
      </patternFill>
    </fill>
    <fill>
      <patternFill patternType="solid">
        <fgColor rgb="FFD5F5E3"/>
        <bgColor rgb="FFCCFFFF"/>
      </patternFill>
    </fill>
    <fill>
      <patternFill patternType="solid">
        <fgColor rgb="FFEBF5FB"/>
        <bgColor rgb="FFFEF9E7"/>
      </patternFill>
    </fill>
    <fill>
      <patternFill patternType="solid">
        <fgColor rgb="FF1A5276"/>
        <bgColor rgb="FF2B5EA7"/>
      </patternFill>
    </fill>
    <fill>
      <patternFill patternType="solid">
        <fgColor rgb="FF5D6D7E"/>
        <bgColor rgb="FF808080"/>
      </patternFill>
    </fill>
    <fill>
      <patternFill patternType="solid">
        <fgColor rgb="FFFEF9E7"/>
        <bgColor rgb="FFFFFFFF"/>
      </patternFill>
    </fill>
    <fill>
      <patternFill patternType="solid">
        <fgColor rgb="FF82E0AA"/>
        <bgColor rgb="FFC0C0C0"/>
      </patternFill>
    </fill>
    <fill>
      <patternFill patternType="solid">
        <fgColor rgb="FFF5B041"/>
        <bgColor rgb="FFFFC000"/>
      </patternFill>
    </fill>
    <fill>
      <patternFill patternType="solid">
        <fgColor rgb="FFEC7063"/>
        <bgColor rgb="FFED7D31"/>
      </patternFill>
    </fill>
  </fills>
  <borders count="4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20" fillId="5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vertical="center"/>
    </xf>
    <xf numFmtId="0" fontId="20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10" borderId="1" xfId="0" applyFont="1" applyFill="1" applyBorder="1" applyAlignment="1">
      <alignment horizontal="center" vertical="center" wrapText="1"/>
    </xf>
    <xf numFmtId="14" fontId="5" fillId="10" borderId="1" xfId="0" applyNumberFormat="1" applyFont="1" applyFill="1" applyBorder="1" applyAlignment="1">
      <alignment horizontal="left" vertical="center" wrapText="1"/>
    </xf>
    <xf numFmtId="164" fontId="5" fillId="10" borderId="1" xfId="0" applyNumberFormat="1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1" fontId="5" fillId="10" borderId="1" xfId="0" applyNumberFormat="1" applyFont="1" applyFill="1" applyBorder="1" applyAlignment="1">
      <alignment horizontal="left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165" fontId="5" fillId="10" borderId="1" xfId="0" applyNumberFormat="1" applyFont="1" applyFill="1" applyBorder="1" applyAlignment="1">
      <alignment horizontal="center" vertical="center" wrapText="1"/>
    </xf>
    <xf numFmtId="165" fontId="5" fillId="10" borderId="1" xfId="0" applyNumberFormat="1" applyFont="1" applyFill="1" applyBorder="1" applyAlignment="1">
      <alignment horizontal="left" vertical="center" wrapText="1"/>
    </xf>
    <xf numFmtId="166" fontId="5" fillId="10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left" vertical="center" wrapText="1"/>
    </xf>
    <xf numFmtId="164" fontId="5" fillId="12" borderId="1" xfId="0" applyNumberFormat="1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1" fontId="5" fillId="12" borderId="1" xfId="0" applyNumberFormat="1" applyFont="1" applyFill="1" applyBorder="1" applyAlignment="1">
      <alignment horizontal="left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165" fontId="5" fillId="12" borderId="1" xfId="0" applyNumberFormat="1" applyFont="1" applyFill="1" applyBorder="1" applyAlignment="1">
      <alignment horizontal="center" vertical="center" wrapText="1"/>
    </xf>
    <xf numFmtId="165" fontId="5" fillId="12" borderId="1" xfId="0" applyNumberFormat="1" applyFont="1" applyFill="1" applyBorder="1" applyAlignment="1">
      <alignment horizontal="left" vertical="center" wrapText="1"/>
    </xf>
    <xf numFmtId="166" fontId="5" fillId="1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14" fontId="8" fillId="0" borderId="2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165" fontId="18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165" fontId="19" fillId="0" borderId="0" xfId="0" applyNumberFormat="1" applyFont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164" fontId="5" fillId="1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164" fontId="5" fillId="12" borderId="1" xfId="0" applyNumberFormat="1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165" fontId="30" fillId="10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65" fontId="31" fillId="10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165" fontId="32" fillId="10" borderId="1" xfId="0" applyNumberFormat="1" applyFont="1" applyFill="1" applyBorder="1" applyAlignment="1">
      <alignment horizontal="center" vertical="center" wrapText="1"/>
    </xf>
    <xf numFmtId="0" fontId="33" fillId="12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165" fontId="33" fillId="10" borderId="1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165" fontId="34" fillId="10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12" borderId="1" xfId="0" applyFont="1" applyFill="1" applyBorder="1"/>
    <xf numFmtId="0" fontId="0" fillId="12" borderId="1" xfId="0" applyFill="1" applyBorder="1" applyAlignment="1">
      <alignment horizontal="center" vertical="center" wrapText="1"/>
    </xf>
    <xf numFmtId="167" fontId="0" fillId="12" borderId="1" xfId="0" applyNumberFormat="1" applyFill="1" applyBorder="1" applyAlignment="1">
      <alignment horizontal="center" vertical="center" wrapText="1"/>
    </xf>
    <xf numFmtId="165" fontId="0" fillId="12" borderId="1" xfId="0" applyNumberForma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5" fillId="10" borderId="1" xfId="0" applyFont="1" applyFill="1" applyBorder="1"/>
    <xf numFmtId="0" fontId="0" fillId="10" borderId="1" xfId="0" applyFill="1" applyBorder="1" applyAlignment="1">
      <alignment horizontal="center" vertical="center" wrapText="1"/>
    </xf>
    <xf numFmtId="167" fontId="0" fillId="10" borderId="1" xfId="0" applyNumberFormat="1" applyFill="1" applyBorder="1" applyAlignment="1">
      <alignment horizontal="center" vertical="center" wrapText="1"/>
    </xf>
    <xf numFmtId="165" fontId="0" fillId="10" borderId="1" xfId="0" applyNumberForma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11" fillId="12" borderId="1" xfId="0" applyFont="1" applyFill="1" applyBorder="1"/>
    <xf numFmtId="1" fontId="0" fillId="12" borderId="1" xfId="0" applyNumberFormat="1" applyFill="1" applyBorder="1" applyAlignment="1">
      <alignment horizontal="center" vertical="center" wrapText="1"/>
    </xf>
    <xf numFmtId="0" fontId="11" fillId="10" borderId="1" xfId="0" applyFont="1" applyFill="1" applyBorder="1"/>
    <xf numFmtId="1" fontId="0" fillId="10" borderId="1" xfId="0" applyNumberForma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38" fillId="0" borderId="0" xfId="0" applyFont="1"/>
    <xf numFmtId="168" fontId="38" fillId="0" borderId="0" xfId="0" applyNumberFormat="1" applyFont="1"/>
    <xf numFmtId="0" fontId="11" fillId="12" borderId="1" xfId="0" applyFont="1" applyFill="1" applyBorder="1" applyAlignment="1">
      <alignment horizontal="left" vertical="center" wrapText="1"/>
    </xf>
    <xf numFmtId="167" fontId="5" fillId="12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167" fontId="5" fillId="10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14" fontId="5" fillId="12" borderId="1" xfId="0" applyNumberFormat="1" applyFont="1" applyFill="1" applyBorder="1" applyAlignment="1">
      <alignment horizontal="center" vertical="center" wrapText="1"/>
    </xf>
    <xf numFmtId="165" fontId="27" fillId="12" borderId="1" xfId="0" applyNumberFormat="1" applyFont="1" applyFill="1" applyBorder="1" applyAlignment="1">
      <alignment horizontal="center" vertical="center" wrapText="1"/>
    </xf>
    <xf numFmtId="14" fontId="5" fillId="10" borderId="1" xfId="0" applyNumberFormat="1" applyFont="1" applyFill="1" applyBorder="1" applyAlignment="1">
      <alignment horizontal="center" vertical="center" wrapText="1"/>
    </xf>
    <xf numFmtId="165" fontId="27" fillId="10" borderId="1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0" fontId="20" fillId="6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0" fillId="9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20" fillId="3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right" vertical="center"/>
    </xf>
    <xf numFmtId="0" fontId="20" fillId="8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right" vertical="center"/>
    </xf>
    <xf numFmtId="0" fontId="20" fillId="14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right" vertical="center"/>
    </xf>
    <xf numFmtId="0" fontId="5" fillId="12" borderId="3" xfId="0" applyFont="1" applyFill="1" applyBorder="1" applyAlignment="1">
      <alignment horizontal="right" vertical="center"/>
    </xf>
    <xf numFmtId="0" fontId="5" fillId="10" borderId="3" xfId="0" applyFont="1" applyFill="1" applyBorder="1" applyAlignment="1">
      <alignment horizontal="right" vertical="center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35" fillId="4" borderId="0" xfId="0" applyFont="1" applyFill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167" fontId="36" fillId="12" borderId="1" xfId="0" applyNumberFormat="1" applyFont="1" applyFill="1" applyBorder="1" applyAlignment="1">
      <alignment horizontal="center" vertical="center" wrapText="1"/>
    </xf>
    <xf numFmtId="166" fontId="36" fillId="12" borderId="1" xfId="0" applyNumberFormat="1" applyFont="1" applyFill="1" applyBorder="1" applyAlignment="1">
      <alignment horizontal="center" vertical="center" wrapText="1"/>
    </xf>
    <xf numFmtId="165" fontId="36" fillId="12" borderId="1" xfId="0" applyNumberFormat="1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165" fontId="37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167" fontId="37" fillId="0" borderId="1" xfId="0" applyNumberFormat="1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167" fontId="39" fillId="12" borderId="1" xfId="0" applyNumberFormat="1" applyFont="1" applyFill="1" applyBorder="1" applyAlignment="1">
      <alignment horizontal="center" vertical="center" wrapText="1"/>
    </xf>
    <xf numFmtId="165" fontId="39" fillId="12" borderId="1" xfId="0" applyNumberFormat="1" applyFont="1" applyFill="1" applyBorder="1" applyAlignment="1">
      <alignment horizontal="center" vertical="center" wrapText="1"/>
    </xf>
    <xf numFmtId="0" fontId="35" fillId="8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8">
    <dxf>
      <fill>
        <patternFill>
          <bgColor rgb="FF82E0AA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FF4444"/>
        </patternFill>
      </fill>
    </dxf>
    <dxf>
      <fill>
        <patternFill>
          <bgColor rgb="FFEC7063"/>
        </patternFill>
      </fill>
    </dxf>
    <dxf>
      <fill>
        <patternFill>
          <bgColor rgb="FFF5B041"/>
        </patternFill>
      </fill>
    </dxf>
    <dxf>
      <fill>
        <patternFill>
          <bgColor rgb="FF82E0AA"/>
        </patternFill>
      </fill>
    </dxf>
    <dxf>
      <fill>
        <patternFill>
          <bgColor rgb="FF82E0AA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FF4444"/>
        </patternFill>
      </fill>
    </dxf>
    <dxf>
      <fill>
        <patternFill>
          <bgColor rgb="FFEC7063"/>
        </patternFill>
      </fill>
    </dxf>
    <dxf>
      <fill>
        <patternFill>
          <bgColor rgb="FFF5B041"/>
        </patternFill>
      </fill>
    </dxf>
    <dxf>
      <fill>
        <patternFill>
          <bgColor rgb="FF82E0AA"/>
        </patternFill>
      </fill>
    </dxf>
    <dxf>
      <fill>
        <patternFill>
          <bgColor rgb="FF82E0AA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FF4444"/>
        </patternFill>
      </fill>
    </dxf>
    <dxf>
      <fill>
        <patternFill>
          <bgColor rgb="FFEC7063"/>
        </patternFill>
      </fill>
    </dxf>
    <dxf>
      <fill>
        <patternFill>
          <bgColor rgb="FFF5B041"/>
        </patternFill>
      </fill>
    </dxf>
    <dxf>
      <fill>
        <patternFill>
          <bgColor rgb="FF82E0AA"/>
        </patternFill>
      </fill>
    </dxf>
    <dxf>
      <fill>
        <patternFill>
          <bgColor rgb="FF82E0AA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FF4444"/>
        </patternFill>
      </fill>
    </dxf>
    <dxf>
      <fill>
        <patternFill>
          <bgColor rgb="FFEC7063"/>
        </patternFill>
      </fill>
    </dxf>
    <dxf>
      <fill>
        <patternFill>
          <bgColor rgb="FFF5B041"/>
        </patternFill>
      </fill>
    </dxf>
    <dxf>
      <fill>
        <patternFill>
          <bgColor rgb="FF82E0AA"/>
        </patternFill>
      </fill>
    </dxf>
    <dxf>
      <fill>
        <patternFill>
          <bgColor rgb="FF82E0AA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FF4444"/>
        </patternFill>
      </fill>
    </dxf>
    <dxf>
      <fill>
        <patternFill>
          <bgColor rgb="FFEC7063"/>
        </patternFill>
      </fill>
    </dxf>
    <dxf>
      <fill>
        <patternFill>
          <bgColor rgb="FFF5B041"/>
        </patternFill>
      </fill>
    </dxf>
    <dxf>
      <fill>
        <patternFill>
          <bgColor rgb="FF82E0AA"/>
        </patternFill>
      </fill>
    </dxf>
    <dxf>
      <font>
        <b/>
      </font>
      <fill>
        <patternFill>
          <bgColor rgb="FFFFC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FF4444"/>
        </patternFill>
      </fill>
    </dxf>
    <dxf>
      <fill>
        <patternFill>
          <bgColor rgb="FFEC7063"/>
        </patternFill>
      </fill>
    </dxf>
    <dxf>
      <fill>
        <patternFill>
          <bgColor rgb="FFF5B041"/>
        </patternFill>
      </fill>
    </dxf>
    <dxf>
      <fill>
        <patternFill>
          <bgColor rgb="FF82E0A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444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2980B9"/>
      <rgbColor rgb="FFC0C0C0"/>
      <rgbColor rgb="FF808080"/>
      <rgbColor rgb="FF9999FF"/>
      <rgbColor rgb="FF6C3483"/>
      <rgbColor rgb="FFFEF9E7"/>
      <rgbColor rgb="FFEBF5FB"/>
      <rgbColor rgb="FF660066"/>
      <rgbColor rgb="FFEC7063"/>
      <rgbColor rgb="FF2B5EA7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82E0AA"/>
      <rgbColor rgb="FFFF99CC"/>
      <rgbColor rgb="FFCC99FF"/>
      <rgbColor rgb="FFFFCC99"/>
      <rgbColor rgb="FF3366FF"/>
      <rgbColor rgb="FF33CCCC"/>
      <rgbColor rgb="FF70AD47"/>
      <rgbColor rgb="FFFFC000"/>
      <rgbColor rgb="FFF5B041"/>
      <rgbColor rgb="FFED7D31"/>
      <rgbColor rgb="FF5D6D7E"/>
      <rgbColor rgb="FFAAAAAA"/>
      <rgbColor rgb="FF1A5276"/>
      <rgbColor rgb="FF27AE60"/>
      <rgbColor rgb="FF003300"/>
      <rgbColor rgb="FF333300"/>
      <rgbColor rgb="FFC0392B"/>
      <rgbColor rgb="FFD35400"/>
      <rgbColor rgb="FF333399"/>
      <rgbColor rgb="FF1A27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744"/>
  </sheetPr>
  <dimension ref="A1:AY200"/>
  <sheetViews>
    <sheetView tabSelected="1" topLeftCell="T1" zoomScaleNormal="100" workbookViewId="0">
      <pane ySplit="4" topLeftCell="A14" activePane="bottomLeft" state="frozen"/>
      <selection pane="bottomLeft" activeCell="M15" sqref="M15"/>
    </sheetView>
  </sheetViews>
  <sheetFormatPr baseColWidth="10" defaultColWidth="8.7109375" defaultRowHeight="15" x14ac:dyDescent="0.25"/>
  <cols>
    <col min="1" max="2" width="13" customWidth="1"/>
    <col min="3" max="3" width="10" customWidth="1"/>
    <col min="4" max="4" width="12" customWidth="1"/>
    <col min="5" max="5" width="11" customWidth="1"/>
    <col min="6" max="6" width="26" customWidth="1"/>
    <col min="7" max="7" width="28" customWidth="1"/>
    <col min="8" max="8" width="14" customWidth="1"/>
    <col min="9" max="9" width="12" customWidth="1"/>
    <col min="10" max="10" width="16" customWidth="1"/>
    <col min="11" max="11" width="17" customWidth="1"/>
    <col min="12" max="12" width="12" customWidth="1"/>
    <col min="13" max="13" width="16" customWidth="1"/>
    <col min="14" max="14" width="14" customWidth="1"/>
    <col min="15" max="15" width="17" customWidth="1"/>
    <col min="16" max="16" width="18" customWidth="1"/>
    <col min="17" max="17" width="13" customWidth="1"/>
    <col min="18" max="18" width="34" customWidth="1"/>
    <col min="19" max="19" width="15" customWidth="1"/>
    <col min="20" max="20" width="14" customWidth="1"/>
    <col min="21" max="21" width="10" customWidth="1"/>
    <col min="22" max="24" width="8" customWidth="1"/>
    <col min="25" max="25" width="14" customWidth="1"/>
    <col min="26" max="29" width="13" customWidth="1"/>
    <col min="30" max="30" width="9" customWidth="1"/>
    <col min="31" max="31" width="26" customWidth="1"/>
    <col min="32" max="32" width="30" customWidth="1"/>
    <col min="33" max="33" width="14" customWidth="1"/>
    <col min="34" max="34" width="12" customWidth="1"/>
    <col min="35" max="35" width="14" customWidth="1"/>
    <col min="36" max="36" width="13" customWidth="1"/>
    <col min="37" max="38" width="14" customWidth="1"/>
    <col min="39" max="39" width="13" customWidth="1"/>
    <col min="40" max="40" width="10" customWidth="1"/>
    <col min="41" max="42" width="12" customWidth="1"/>
    <col min="43" max="43" width="13" customWidth="1"/>
    <col min="44" max="44" width="12" customWidth="1"/>
    <col min="45" max="45" width="14" customWidth="1"/>
    <col min="46" max="46" width="10" customWidth="1"/>
    <col min="47" max="47" width="30" customWidth="1"/>
    <col min="48" max="48" width="16" customWidth="1"/>
    <col min="49" max="49" width="34" customWidth="1"/>
    <col min="50" max="51" width="0.5703125" hidden="1" customWidth="1"/>
  </cols>
  <sheetData>
    <row r="1" spans="1:51" ht="42" customHeight="1" x14ac:dyDescent="0.25">
      <c r="A1" s="14" t="s">
        <v>302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</row>
    <row r="2" spans="1:51" ht="24" customHeight="1" x14ac:dyDescent="0.25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</row>
    <row r="3" spans="1:51" ht="25.5" customHeight="1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1" t="s">
        <v>2</v>
      </c>
      <c r="L3" s="11"/>
      <c r="M3" s="11"/>
      <c r="N3" s="11"/>
      <c r="O3" s="11"/>
      <c r="P3" s="11"/>
      <c r="Q3" s="11"/>
      <c r="R3" s="11"/>
      <c r="S3" s="10" t="s">
        <v>3</v>
      </c>
      <c r="T3" s="10"/>
      <c r="U3" s="10"/>
      <c r="V3" s="9" t="s">
        <v>4</v>
      </c>
      <c r="W3" s="9"/>
      <c r="X3" s="9"/>
      <c r="Y3" s="9"/>
      <c r="Z3" s="9"/>
      <c r="AA3" s="9"/>
      <c r="AB3" s="9"/>
      <c r="AC3" s="9"/>
      <c r="AD3" s="9"/>
      <c r="AE3" s="9"/>
      <c r="AF3" s="8" t="s">
        <v>5</v>
      </c>
      <c r="AG3" s="8"/>
      <c r="AH3" s="8"/>
      <c r="AI3" s="8"/>
      <c r="AJ3" s="8"/>
      <c r="AK3" s="7" t="s">
        <v>6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spans="1:51" ht="54.75" customHeight="1" x14ac:dyDescent="0.25">
      <c r="A4" s="15" t="s">
        <v>7</v>
      </c>
      <c r="B4" s="15" t="s">
        <v>8</v>
      </c>
      <c r="C4" s="15" t="s">
        <v>9</v>
      </c>
      <c r="D4" s="15" t="s">
        <v>10</v>
      </c>
      <c r="E4" s="15" t="s">
        <v>11</v>
      </c>
      <c r="F4" s="15" t="s">
        <v>12</v>
      </c>
      <c r="G4" s="15" t="s">
        <v>13</v>
      </c>
      <c r="H4" s="15" t="s">
        <v>14</v>
      </c>
      <c r="I4" s="15" t="s">
        <v>15</v>
      </c>
      <c r="J4" s="15" t="s">
        <v>16</v>
      </c>
      <c r="K4" s="16" t="s">
        <v>17</v>
      </c>
      <c r="L4" s="16" t="s">
        <v>18</v>
      </c>
      <c r="M4" s="16" t="s">
        <v>19</v>
      </c>
      <c r="N4" s="16" t="s">
        <v>20</v>
      </c>
      <c r="O4" s="16" t="s">
        <v>21</v>
      </c>
      <c r="P4" s="16" t="s">
        <v>22</v>
      </c>
      <c r="Q4" s="16" t="s">
        <v>23</v>
      </c>
      <c r="R4" s="16" t="s">
        <v>24</v>
      </c>
      <c r="S4" s="17" t="s">
        <v>25</v>
      </c>
      <c r="T4" s="17" t="s">
        <v>26</v>
      </c>
      <c r="U4" s="17" t="s">
        <v>27</v>
      </c>
      <c r="V4" s="18" t="s">
        <v>28</v>
      </c>
      <c r="W4" s="18" t="s">
        <v>29</v>
      </c>
      <c r="X4" s="18" t="s">
        <v>30</v>
      </c>
      <c r="Y4" s="18" t="s">
        <v>31</v>
      </c>
      <c r="Z4" s="18" t="s">
        <v>32</v>
      </c>
      <c r="AA4" s="18" t="s">
        <v>33</v>
      </c>
      <c r="AB4" s="18" t="s">
        <v>34</v>
      </c>
      <c r="AC4" s="18" t="s">
        <v>35</v>
      </c>
      <c r="AD4" s="18" t="s">
        <v>36</v>
      </c>
      <c r="AE4" s="18" t="s">
        <v>37</v>
      </c>
      <c r="AF4" s="19" t="s">
        <v>38</v>
      </c>
      <c r="AG4" s="19" t="s">
        <v>39</v>
      </c>
      <c r="AH4" s="19" t="s">
        <v>40</v>
      </c>
      <c r="AI4" s="19" t="s">
        <v>41</v>
      </c>
      <c r="AJ4" s="19" t="s">
        <v>42</v>
      </c>
      <c r="AK4" s="20" t="s">
        <v>43</v>
      </c>
      <c r="AL4" s="20" t="s">
        <v>44</v>
      </c>
      <c r="AM4" s="20" t="s">
        <v>45</v>
      </c>
      <c r="AN4" s="20" t="s">
        <v>46</v>
      </c>
      <c r="AO4" s="20" t="s">
        <v>47</v>
      </c>
      <c r="AP4" s="20" t="s">
        <v>48</v>
      </c>
      <c r="AQ4" s="20" t="s">
        <v>49</v>
      </c>
      <c r="AR4" s="20" t="s">
        <v>50</v>
      </c>
      <c r="AS4" s="20" t="s">
        <v>51</v>
      </c>
      <c r="AT4" s="20" t="s">
        <v>52</v>
      </c>
      <c r="AU4" s="20" t="s">
        <v>53</v>
      </c>
      <c r="AV4" s="20" t="s">
        <v>54</v>
      </c>
      <c r="AW4" s="20" t="s">
        <v>55</v>
      </c>
      <c r="AX4" s="21" t="s">
        <v>56</v>
      </c>
      <c r="AY4" s="21" t="s">
        <v>57</v>
      </c>
    </row>
    <row r="5" spans="1:51" ht="15" customHeight="1" x14ac:dyDescent="0.25">
      <c r="A5" s="22" t="str">
        <f t="shared" ref="A5:A36" si="0">IF(B5&lt;&gt;"","INC-"&amp;TEXT(ROW()-4,"0000"),"")</f>
        <v/>
      </c>
      <c r="B5" s="23"/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3"/>
      <c r="U5" s="24"/>
      <c r="V5" s="26"/>
      <c r="W5" s="26"/>
      <c r="X5" s="27" t="str">
        <f t="shared" ref="X5:X36" si="1">IF(OR(V5&lt;&gt;"",W5&lt;&gt;""),IF(V5="",0,V5)+IF(W5="",0,W5),"")</f>
        <v/>
      </c>
      <c r="Y5" s="28" t="str">
        <f t="shared" ref="Y5:Y36" si="2">IF(X5&lt;&gt;"",X5*0.33,"")</f>
        <v/>
      </c>
      <c r="Z5" s="26"/>
      <c r="AA5" s="26"/>
      <c r="AB5" s="26"/>
      <c r="AC5" s="27" t="str">
        <f t="shared" ref="AC5:AC36" si="3">IF(OR(Z5&lt;&gt;"",AB5&lt;&gt;""),IF(Z5="",0,Z5)+IF(AB5="",0,AB5),"")</f>
        <v/>
      </c>
      <c r="AD5" s="26"/>
      <c r="AE5" s="25"/>
      <c r="AF5" s="25"/>
      <c r="AG5" s="29"/>
      <c r="AH5" s="25"/>
      <c r="AI5" s="29"/>
      <c r="AJ5" s="25"/>
      <c r="AK5" s="25"/>
      <c r="AL5" s="25"/>
      <c r="AM5" s="23"/>
      <c r="AN5" s="24"/>
      <c r="AO5" s="30" t="str">
        <f t="shared" ref="AO5:AO36" si="4">IFERROR(IF(AND(AM5&lt;&gt;"",B5&lt;&gt;""),((AM5+AN5)-(B5+C5))*24,""),"")</f>
        <v/>
      </c>
      <c r="AP5" s="28" t="str">
        <f t="shared" ref="AP5:AP36" si="5">IF(S5="","",IF(S5="Juan Manuel",18.9,IF(S5="Juan Luis",17.5,IF(S5="Raúl",15.8,IF(S5="Adrián",13.5,IF(S5="Paco",13.5,""))))))</f>
        <v/>
      </c>
      <c r="AQ5" s="28" t="str">
        <f t="shared" ref="AQ5:AQ36" si="6">IFERROR(IF(AND(AC5&lt;&gt;"",AP5&lt;&gt;""),(AC5/60)*AP5,""),"")</f>
        <v/>
      </c>
      <c r="AR5" s="28" t="str">
        <f t="shared" ref="AR5:AR36" si="7">IF(Y5&lt;&gt;"",Y5,"")</f>
        <v/>
      </c>
      <c r="AS5" s="28" t="str">
        <f t="shared" ref="AS5:AS36" si="8">IFERROR(IF(OR(AQ5&lt;&gt;"",AG5&lt;&gt;"",AR5&lt;&gt;""),IF(AQ5="",0,AQ5)+IF(AG5="",0,AG5)+IF(AR5="",0,AR5),""),"")</f>
        <v/>
      </c>
      <c r="AT5" s="22" t="str">
        <f t="shared" ref="AT5:AT36" si="9">IF(AS5="","",IF(AS5&gt;150,"⚠️ REVISAR",IF(AS5&gt;80,"⚡ ATENCIÓN","✅ OK")))</f>
        <v/>
      </c>
      <c r="AU5" s="31"/>
      <c r="AV5" s="32"/>
      <c r="AW5" s="25"/>
      <c r="AX5" s="21" t="str">
        <f t="shared" ref="AX5:AX36" si="10">IF(OR(S5="",T5=""),"",S5&amp;TEXT(T5,"YYYYMMDD"))</f>
        <v/>
      </c>
      <c r="AY5" s="21" t="str">
        <f>IF(AX5="","",COUNTIF(AX$5:AX5,AX5))</f>
        <v/>
      </c>
    </row>
    <row r="6" spans="1:51" ht="15" customHeight="1" x14ac:dyDescent="0.25">
      <c r="A6" s="33" t="str">
        <f t="shared" si="0"/>
        <v/>
      </c>
      <c r="B6" s="34"/>
      <c r="C6" s="35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5"/>
      <c r="V6" s="37"/>
      <c r="W6" s="37"/>
      <c r="X6" s="38" t="str">
        <f t="shared" si="1"/>
        <v/>
      </c>
      <c r="Y6" s="39" t="str">
        <f t="shared" si="2"/>
        <v/>
      </c>
      <c r="Z6" s="37"/>
      <c r="AA6" s="37"/>
      <c r="AB6" s="37"/>
      <c r="AC6" s="38" t="str">
        <f t="shared" si="3"/>
        <v/>
      </c>
      <c r="AD6" s="37"/>
      <c r="AE6" s="36"/>
      <c r="AF6" s="36"/>
      <c r="AG6" s="40"/>
      <c r="AH6" s="36"/>
      <c r="AI6" s="40"/>
      <c r="AJ6" s="36"/>
      <c r="AK6" s="36"/>
      <c r="AL6" s="36"/>
      <c r="AM6" s="34"/>
      <c r="AN6" s="35"/>
      <c r="AO6" s="41" t="str">
        <f t="shared" si="4"/>
        <v/>
      </c>
      <c r="AP6" s="39" t="str">
        <f t="shared" si="5"/>
        <v/>
      </c>
      <c r="AQ6" s="39" t="str">
        <f t="shared" si="6"/>
        <v/>
      </c>
      <c r="AR6" s="39" t="str">
        <f t="shared" si="7"/>
        <v/>
      </c>
      <c r="AS6" s="39" t="str">
        <f t="shared" si="8"/>
        <v/>
      </c>
      <c r="AT6" s="33" t="str">
        <f t="shared" si="9"/>
        <v/>
      </c>
      <c r="AU6" s="31"/>
      <c r="AV6" s="32"/>
      <c r="AW6" s="36"/>
      <c r="AX6" s="21" t="str">
        <f t="shared" si="10"/>
        <v/>
      </c>
      <c r="AY6" s="21" t="str">
        <f>IF(AX6="","",COUNTIF(AX$5:AX6,AX6))</f>
        <v/>
      </c>
    </row>
    <row r="7" spans="1:51" ht="15" customHeight="1" x14ac:dyDescent="0.25">
      <c r="A7" s="22" t="str">
        <f t="shared" si="0"/>
        <v/>
      </c>
      <c r="B7" s="23"/>
      <c r="C7" s="24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3"/>
      <c r="U7" s="24"/>
      <c r="V7" s="26"/>
      <c r="W7" s="26"/>
      <c r="X7" s="27" t="str">
        <f t="shared" si="1"/>
        <v/>
      </c>
      <c r="Y7" s="28" t="str">
        <f t="shared" si="2"/>
        <v/>
      </c>
      <c r="Z7" s="26"/>
      <c r="AA7" s="26"/>
      <c r="AB7" s="26"/>
      <c r="AC7" s="27" t="str">
        <f t="shared" si="3"/>
        <v/>
      </c>
      <c r="AD7" s="26"/>
      <c r="AE7" s="25"/>
      <c r="AF7" s="25"/>
      <c r="AG7" s="29"/>
      <c r="AH7" s="25"/>
      <c r="AI7" s="29"/>
      <c r="AJ7" s="25"/>
      <c r="AK7" s="25"/>
      <c r="AL7" s="25"/>
      <c r="AM7" s="23"/>
      <c r="AN7" s="24"/>
      <c r="AO7" s="30" t="str">
        <f t="shared" si="4"/>
        <v/>
      </c>
      <c r="AP7" s="28" t="str">
        <f t="shared" si="5"/>
        <v/>
      </c>
      <c r="AQ7" s="28" t="str">
        <f t="shared" si="6"/>
        <v/>
      </c>
      <c r="AR7" s="28" t="str">
        <f t="shared" si="7"/>
        <v/>
      </c>
      <c r="AS7" s="28" t="str">
        <f t="shared" si="8"/>
        <v/>
      </c>
      <c r="AT7" s="22" t="str">
        <f t="shared" si="9"/>
        <v/>
      </c>
      <c r="AU7" s="31"/>
      <c r="AV7" s="32"/>
      <c r="AW7" s="25"/>
      <c r="AX7" s="21" t="str">
        <f t="shared" si="10"/>
        <v/>
      </c>
      <c r="AY7" s="21" t="str">
        <f>IF(AX7="","",COUNTIF(AX$5:AX7,AX7))</f>
        <v/>
      </c>
    </row>
    <row r="8" spans="1:51" ht="15" customHeight="1" x14ac:dyDescent="0.25">
      <c r="A8" s="33" t="str">
        <f t="shared" si="0"/>
        <v/>
      </c>
      <c r="B8" s="34"/>
      <c r="C8" s="35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4"/>
      <c r="U8" s="35"/>
      <c r="V8" s="37"/>
      <c r="W8" s="37"/>
      <c r="X8" s="38" t="str">
        <f t="shared" si="1"/>
        <v/>
      </c>
      <c r="Y8" s="39" t="str">
        <f t="shared" si="2"/>
        <v/>
      </c>
      <c r="Z8" s="37"/>
      <c r="AA8" s="37"/>
      <c r="AB8" s="37"/>
      <c r="AC8" s="38" t="str">
        <f t="shared" si="3"/>
        <v/>
      </c>
      <c r="AD8" s="37"/>
      <c r="AE8" s="36"/>
      <c r="AF8" s="36"/>
      <c r="AG8" s="40"/>
      <c r="AH8" s="36"/>
      <c r="AI8" s="40"/>
      <c r="AJ8" s="36"/>
      <c r="AK8" s="36"/>
      <c r="AL8" s="36"/>
      <c r="AM8" s="34"/>
      <c r="AN8" s="35"/>
      <c r="AO8" s="41" t="str">
        <f t="shared" si="4"/>
        <v/>
      </c>
      <c r="AP8" s="39" t="str">
        <f t="shared" si="5"/>
        <v/>
      </c>
      <c r="AQ8" s="39" t="str">
        <f t="shared" si="6"/>
        <v/>
      </c>
      <c r="AR8" s="39" t="str">
        <f t="shared" si="7"/>
        <v/>
      </c>
      <c r="AS8" s="39" t="str">
        <f t="shared" si="8"/>
        <v/>
      </c>
      <c r="AT8" s="33" t="str">
        <f t="shared" si="9"/>
        <v/>
      </c>
      <c r="AU8" s="31"/>
      <c r="AV8" s="32"/>
      <c r="AW8" s="36"/>
      <c r="AX8" s="21" t="str">
        <f t="shared" si="10"/>
        <v/>
      </c>
      <c r="AY8" s="21" t="str">
        <f>IF(AX8="","",COUNTIF(AX$5:AX8,AX8))</f>
        <v/>
      </c>
    </row>
    <row r="9" spans="1:51" ht="15" customHeight="1" x14ac:dyDescent="0.25">
      <c r="A9" s="22" t="str">
        <f t="shared" si="0"/>
        <v/>
      </c>
      <c r="B9" s="23"/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3"/>
      <c r="U9" s="24"/>
      <c r="V9" s="26"/>
      <c r="W9" s="26"/>
      <c r="X9" s="27" t="str">
        <f t="shared" si="1"/>
        <v/>
      </c>
      <c r="Y9" s="28" t="str">
        <f t="shared" si="2"/>
        <v/>
      </c>
      <c r="Z9" s="26"/>
      <c r="AA9" s="26"/>
      <c r="AB9" s="26"/>
      <c r="AC9" s="27" t="str">
        <f t="shared" si="3"/>
        <v/>
      </c>
      <c r="AD9" s="26"/>
      <c r="AE9" s="25"/>
      <c r="AF9" s="25"/>
      <c r="AG9" s="29"/>
      <c r="AH9" s="25"/>
      <c r="AI9" s="29"/>
      <c r="AJ9" s="25"/>
      <c r="AK9" s="25"/>
      <c r="AL9" s="25"/>
      <c r="AM9" s="23"/>
      <c r="AN9" s="24"/>
      <c r="AO9" s="30" t="str">
        <f t="shared" si="4"/>
        <v/>
      </c>
      <c r="AP9" s="28" t="str">
        <f t="shared" si="5"/>
        <v/>
      </c>
      <c r="AQ9" s="28" t="str">
        <f t="shared" si="6"/>
        <v/>
      </c>
      <c r="AR9" s="28" t="str">
        <f t="shared" si="7"/>
        <v/>
      </c>
      <c r="AS9" s="28" t="str">
        <f t="shared" si="8"/>
        <v/>
      </c>
      <c r="AT9" s="22" t="str">
        <f t="shared" si="9"/>
        <v/>
      </c>
      <c r="AU9" s="31"/>
      <c r="AV9" s="32"/>
      <c r="AW9" s="25"/>
      <c r="AX9" s="21" t="str">
        <f t="shared" si="10"/>
        <v/>
      </c>
      <c r="AY9" s="21" t="str">
        <f>IF(AX9="","",COUNTIF(AX$5:AX9,AX9))</f>
        <v/>
      </c>
    </row>
    <row r="10" spans="1:51" ht="15" customHeight="1" x14ac:dyDescent="0.25">
      <c r="A10" s="33" t="str">
        <f t="shared" si="0"/>
        <v/>
      </c>
      <c r="B10" s="34"/>
      <c r="C10" s="35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4"/>
      <c r="U10" s="35"/>
      <c r="V10" s="37"/>
      <c r="W10" s="37"/>
      <c r="X10" s="38" t="str">
        <f t="shared" si="1"/>
        <v/>
      </c>
      <c r="Y10" s="39" t="str">
        <f t="shared" si="2"/>
        <v/>
      </c>
      <c r="Z10" s="37"/>
      <c r="AA10" s="37"/>
      <c r="AB10" s="37"/>
      <c r="AC10" s="38" t="str">
        <f t="shared" si="3"/>
        <v/>
      </c>
      <c r="AD10" s="37"/>
      <c r="AE10" s="36"/>
      <c r="AF10" s="36"/>
      <c r="AG10" s="40"/>
      <c r="AH10" s="36"/>
      <c r="AI10" s="40"/>
      <c r="AJ10" s="36"/>
      <c r="AK10" s="36"/>
      <c r="AL10" s="36"/>
      <c r="AM10" s="34"/>
      <c r="AN10" s="35"/>
      <c r="AO10" s="41" t="str">
        <f t="shared" si="4"/>
        <v/>
      </c>
      <c r="AP10" s="39" t="str">
        <f t="shared" si="5"/>
        <v/>
      </c>
      <c r="AQ10" s="39" t="str">
        <f t="shared" si="6"/>
        <v/>
      </c>
      <c r="AR10" s="39" t="str">
        <f t="shared" si="7"/>
        <v/>
      </c>
      <c r="AS10" s="39" t="str">
        <f t="shared" si="8"/>
        <v/>
      </c>
      <c r="AT10" s="33" t="str">
        <f t="shared" si="9"/>
        <v/>
      </c>
      <c r="AU10" s="31"/>
      <c r="AV10" s="32"/>
      <c r="AW10" s="36"/>
      <c r="AX10" s="21" t="str">
        <f t="shared" si="10"/>
        <v/>
      </c>
      <c r="AY10" s="21" t="str">
        <f>IF(AX10="","",COUNTIF(AX$5:AX10,AX10))</f>
        <v/>
      </c>
    </row>
    <row r="11" spans="1:51" ht="15" customHeight="1" x14ac:dyDescent="0.25">
      <c r="A11" s="22" t="str">
        <f t="shared" si="0"/>
        <v/>
      </c>
      <c r="B11" s="23"/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3"/>
      <c r="U11" s="24"/>
      <c r="V11" s="26"/>
      <c r="W11" s="26"/>
      <c r="X11" s="27" t="str">
        <f t="shared" si="1"/>
        <v/>
      </c>
      <c r="Y11" s="28" t="str">
        <f t="shared" si="2"/>
        <v/>
      </c>
      <c r="Z11" s="26"/>
      <c r="AA11" s="26"/>
      <c r="AB11" s="26"/>
      <c r="AC11" s="27" t="str">
        <f t="shared" si="3"/>
        <v/>
      </c>
      <c r="AD11" s="26"/>
      <c r="AE11" s="25"/>
      <c r="AF11" s="25"/>
      <c r="AG11" s="29"/>
      <c r="AH11" s="25"/>
      <c r="AI11" s="29"/>
      <c r="AJ11" s="25"/>
      <c r="AK11" s="25"/>
      <c r="AL11" s="25"/>
      <c r="AM11" s="23"/>
      <c r="AN11" s="24"/>
      <c r="AO11" s="30" t="str">
        <f t="shared" si="4"/>
        <v/>
      </c>
      <c r="AP11" s="28" t="str">
        <f t="shared" si="5"/>
        <v/>
      </c>
      <c r="AQ11" s="28" t="str">
        <f t="shared" si="6"/>
        <v/>
      </c>
      <c r="AR11" s="28" t="str">
        <f t="shared" si="7"/>
        <v/>
      </c>
      <c r="AS11" s="28" t="str">
        <f t="shared" si="8"/>
        <v/>
      </c>
      <c r="AT11" s="22" t="str">
        <f t="shared" si="9"/>
        <v/>
      </c>
      <c r="AU11" s="31"/>
      <c r="AV11" s="32"/>
      <c r="AW11" s="25"/>
      <c r="AX11" s="21" t="str">
        <f t="shared" si="10"/>
        <v/>
      </c>
      <c r="AY11" s="21" t="str">
        <f>IF(AX11="","",COUNTIF(AX$5:AX11,AX11))</f>
        <v/>
      </c>
    </row>
    <row r="12" spans="1:51" ht="15" customHeight="1" x14ac:dyDescent="0.25">
      <c r="A12" s="33" t="str">
        <f t="shared" si="0"/>
        <v/>
      </c>
      <c r="B12" s="34"/>
      <c r="C12" s="35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4"/>
      <c r="U12" s="35"/>
      <c r="V12" s="37"/>
      <c r="W12" s="37"/>
      <c r="X12" s="38" t="str">
        <f t="shared" si="1"/>
        <v/>
      </c>
      <c r="Y12" s="39" t="str">
        <f t="shared" si="2"/>
        <v/>
      </c>
      <c r="Z12" s="37"/>
      <c r="AA12" s="37"/>
      <c r="AB12" s="37"/>
      <c r="AC12" s="38" t="str">
        <f t="shared" si="3"/>
        <v/>
      </c>
      <c r="AD12" s="37"/>
      <c r="AE12" s="36"/>
      <c r="AF12" s="36"/>
      <c r="AG12" s="40"/>
      <c r="AH12" s="36"/>
      <c r="AI12" s="40"/>
      <c r="AJ12" s="36"/>
      <c r="AK12" s="36"/>
      <c r="AL12" s="36"/>
      <c r="AM12" s="34"/>
      <c r="AN12" s="35"/>
      <c r="AO12" s="41" t="str">
        <f t="shared" si="4"/>
        <v/>
      </c>
      <c r="AP12" s="39" t="str">
        <f t="shared" si="5"/>
        <v/>
      </c>
      <c r="AQ12" s="39" t="str">
        <f t="shared" si="6"/>
        <v/>
      </c>
      <c r="AR12" s="39" t="str">
        <f t="shared" si="7"/>
        <v/>
      </c>
      <c r="AS12" s="39" t="str">
        <f t="shared" si="8"/>
        <v/>
      </c>
      <c r="AT12" s="33" t="str">
        <f t="shared" si="9"/>
        <v/>
      </c>
      <c r="AU12" s="31"/>
      <c r="AV12" s="32"/>
      <c r="AW12" s="36"/>
      <c r="AX12" s="21" t="str">
        <f t="shared" si="10"/>
        <v/>
      </c>
      <c r="AY12" s="21" t="str">
        <f>IF(AX12="","",COUNTIF(AX$5:AX12,AX12))</f>
        <v/>
      </c>
    </row>
    <row r="13" spans="1:51" ht="15" customHeight="1" x14ac:dyDescent="0.25">
      <c r="A13" s="22" t="str">
        <f t="shared" si="0"/>
        <v/>
      </c>
      <c r="B13" s="23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3"/>
      <c r="U13" s="24"/>
      <c r="V13" s="26"/>
      <c r="W13" s="26"/>
      <c r="X13" s="27" t="str">
        <f t="shared" si="1"/>
        <v/>
      </c>
      <c r="Y13" s="28" t="str">
        <f t="shared" si="2"/>
        <v/>
      </c>
      <c r="Z13" s="26"/>
      <c r="AA13" s="26"/>
      <c r="AB13" s="26"/>
      <c r="AC13" s="27" t="str">
        <f t="shared" si="3"/>
        <v/>
      </c>
      <c r="AD13" s="26"/>
      <c r="AE13" s="25"/>
      <c r="AF13" s="25"/>
      <c r="AG13" s="29"/>
      <c r="AH13" s="25"/>
      <c r="AI13" s="29"/>
      <c r="AJ13" s="25"/>
      <c r="AK13" s="25"/>
      <c r="AL13" s="25"/>
      <c r="AM13" s="23"/>
      <c r="AN13" s="24"/>
      <c r="AO13" s="30" t="str">
        <f t="shared" si="4"/>
        <v/>
      </c>
      <c r="AP13" s="28" t="str">
        <f t="shared" si="5"/>
        <v/>
      </c>
      <c r="AQ13" s="28" t="str">
        <f t="shared" si="6"/>
        <v/>
      </c>
      <c r="AR13" s="28" t="str">
        <f t="shared" si="7"/>
        <v/>
      </c>
      <c r="AS13" s="28" t="str">
        <f t="shared" si="8"/>
        <v/>
      </c>
      <c r="AT13" s="22" t="str">
        <f t="shared" si="9"/>
        <v/>
      </c>
      <c r="AU13" s="31"/>
      <c r="AV13" s="32"/>
      <c r="AW13" s="25"/>
      <c r="AX13" s="21" t="str">
        <f t="shared" si="10"/>
        <v/>
      </c>
      <c r="AY13" s="21" t="str">
        <f>IF(AX13="","",COUNTIF(AX$5:AX13,AX13))</f>
        <v/>
      </c>
    </row>
    <row r="14" spans="1:51" ht="15" customHeight="1" x14ac:dyDescent="0.25">
      <c r="A14" s="33" t="str">
        <f t="shared" si="0"/>
        <v/>
      </c>
      <c r="B14" s="34"/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4"/>
      <c r="U14" s="35"/>
      <c r="V14" s="37"/>
      <c r="W14" s="37"/>
      <c r="X14" s="38" t="str">
        <f t="shared" si="1"/>
        <v/>
      </c>
      <c r="Y14" s="39" t="str">
        <f t="shared" si="2"/>
        <v/>
      </c>
      <c r="Z14" s="37"/>
      <c r="AA14" s="37"/>
      <c r="AB14" s="37"/>
      <c r="AC14" s="38" t="str">
        <f t="shared" si="3"/>
        <v/>
      </c>
      <c r="AD14" s="37"/>
      <c r="AE14" s="36"/>
      <c r="AF14" s="36"/>
      <c r="AG14" s="40"/>
      <c r="AH14" s="36"/>
      <c r="AI14" s="40"/>
      <c r="AJ14" s="36"/>
      <c r="AK14" s="36"/>
      <c r="AL14" s="36"/>
      <c r="AM14" s="34"/>
      <c r="AN14" s="35"/>
      <c r="AO14" s="41" t="str">
        <f t="shared" si="4"/>
        <v/>
      </c>
      <c r="AP14" s="39" t="str">
        <f t="shared" si="5"/>
        <v/>
      </c>
      <c r="AQ14" s="39" t="str">
        <f t="shared" si="6"/>
        <v/>
      </c>
      <c r="AR14" s="39" t="str">
        <f t="shared" si="7"/>
        <v/>
      </c>
      <c r="AS14" s="39" t="str">
        <f t="shared" si="8"/>
        <v/>
      </c>
      <c r="AT14" s="33" t="str">
        <f t="shared" si="9"/>
        <v/>
      </c>
      <c r="AU14" s="31"/>
      <c r="AV14" s="32"/>
      <c r="AW14" s="36"/>
      <c r="AX14" s="21" t="str">
        <f t="shared" si="10"/>
        <v/>
      </c>
      <c r="AY14" s="21" t="str">
        <f>IF(AX14="","",COUNTIF(AX$5:AX14,AX14))</f>
        <v/>
      </c>
    </row>
    <row r="15" spans="1:51" ht="15" customHeight="1" x14ac:dyDescent="0.25">
      <c r="A15" s="22" t="str">
        <f t="shared" si="0"/>
        <v/>
      </c>
      <c r="B15" s="23"/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3"/>
      <c r="U15" s="24"/>
      <c r="V15" s="26"/>
      <c r="W15" s="26"/>
      <c r="X15" s="27" t="str">
        <f t="shared" si="1"/>
        <v/>
      </c>
      <c r="Y15" s="28" t="str">
        <f t="shared" si="2"/>
        <v/>
      </c>
      <c r="Z15" s="26"/>
      <c r="AA15" s="26"/>
      <c r="AB15" s="26"/>
      <c r="AC15" s="27" t="str">
        <f t="shared" si="3"/>
        <v/>
      </c>
      <c r="AD15" s="26"/>
      <c r="AE15" s="25"/>
      <c r="AF15" s="25"/>
      <c r="AG15" s="29"/>
      <c r="AH15" s="25"/>
      <c r="AI15" s="29"/>
      <c r="AJ15" s="25"/>
      <c r="AK15" s="25"/>
      <c r="AL15" s="25"/>
      <c r="AM15" s="23"/>
      <c r="AN15" s="24"/>
      <c r="AO15" s="30" t="str">
        <f t="shared" si="4"/>
        <v/>
      </c>
      <c r="AP15" s="28" t="str">
        <f t="shared" si="5"/>
        <v/>
      </c>
      <c r="AQ15" s="28" t="str">
        <f t="shared" si="6"/>
        <v/>
      </c>
      <c r="AR15" s="28" t="str">
        <f t="shared" si="7"/>
        <v/>
      </c>
      <c r="AS15" s="28" t="str">
        <f t="shared" si="8"/>
        <v/>
      </c>
      <c r="AT15" s="22" t="str">
        <f t="shared" si="9"/>
        <v/>
      </c>
      <c r="AU15" s="31"/>
      <c r="AV15" s="32"/>
      <c r="AW15" s="25"/>
      <c r="AX15" s="21" t="str">
        <f t="shared" si="10"/>
        <v/>
      </c>
      <c r="AY15" s="21" t="str">
        <f>IF(AX15="","",COUNTIF(AX$5:AX15,AX15))</f>
        <v/>
      </c>
    </row>
    <row r="16" spans="1:51" ht="15" customHeight="1" x14ac:dyDescent="0.25">
      <c r="A16" s="33" t="str">
        <f t="shared" si="0"/>
        <v/>
      </c>
      <c r="B16" s="34"/>
      <c r="C16" s="35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4"/>
      <c r="U16" s="35"/>
      <c r="V16" s="37"/>
      <c r="W16" s="37"/>
      <c r="X16" s="38" t="str">
        <f t="shared" si="1"/>
        <v/>
      </c>
      <c r="Y16" s="39" t="str">
        <f t="shared" si="2"/>
        <v/>
      </c>
      <c r="Z16" s="37"/>
      <c r="AA16" s="37"/>
      <c r="AB16" s="37"/>
      <c r="AC16" s="38" t="str">
        <f t="shared" si="3"/>
        <v/>
      </c>
      <c r="AD16" s="37"/>
      <c r="AE16" s="36"/>
      <c r="AF16" s="36"/>
      <c r="AG16" s="40"/>
      <c r="AH16" s="36"/>
      <c r="AI16" s="40"/>
      <c r="AJ16" s="36"/>
      <c r="AK16" s="36"/>
      <c r="AL16" s="36"/>
      <c r="AM16" s="34"/>
      <c r="AN16" s="35"/>
      <c r="AO16" s="41" t="str">
        <f t="shared" si="4"/>
        <v/>
      </c>
      <c r="AP16" s="39" t="str">
        <f t="shared" si="5"/>
        <v/>
      </c>
      <c r="AQ16" s="39" t="str">
        <f t="shared" si="6"/>
        <v/>
      </c>
      <c r="AR16" s="39" t="str">
        <f t="shared" si="7"/>
        <v/>
      </c>
      <c r="AS16" s="39" t="str">
        <f t="shared" si="8"/>
        <v/>
      </c>
      <c r="AT16" s="33" t="str">
        <f t="shared" si="9"/>
        <v/>
      </c>
      <c r="AU16" s="31"/>
      <c r="AV16" s="32"/>
      <c r="AW16" s="36"/>
      <c r="AX16" s="21" t="str">
        <f t="shared" si="10"/>
        <v/>
      </c>
      <c r="AY16" s="21" t="str">
        <f>IF(AX16="","",COUNTIF(AX$5:AX16,AX16))</f>
        <v/>
      </c>
    </row>
    <row r="17" spans="1:51" ht="15" customHeight="1" x14ac:dyDescent="0.25">
      <c r="A17" s="22" t="str">
        <f t="shared" si="0"/>
        <v/>
      </c>
      <c r="B17" s="23"/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3"/>
      <c r="U17" s="24"/>
      <c r="V17" s="26"/>
      <c r="W17" s="26"/>
      <c r="X17" s="27" t="str">
        <f t="shared" si="1"/>
        <v/>
      </c>
      <c r="Y17" s="28" t="str">
        <f t="shared" si="2"/>
        <v/>
      </c>
      <c r="Z17" s="26"/>
      <c r="AA17" s="26"/>
      <c r="AB17" s="26"/>
      <c r="AC17" s="27" t="str">
        <f t="shared" si="3"/>
        <v/>
      </c>
      <c r="AD17" s="26"/>
      <c r="AE17" s="25"/>
      <c r="AF17" s="25"/>
      <c r="AG17" s="29"/>
      <c r="AH17" s="25"/>
      <c r="AI17" s="29"/>
      <c r="AJ17" s="25"/>
      <c r="AK17" s="25"/>
      <c r="AL17" s="25"/>
      <c r="AM17" s="23"/>
      <c r="AN17" s="24"/>
      <c r="AO17" s="30" t="str">
        <f t="shared" si="4"/>
        <v/>
      </c>
      <c r="AP17" s="28" t="str">
        <f t="shared" si="5"/>
        <v/>
      </c>
      <c r="AQ17" s="28" t="str">
        <f t="shared" si="6"/>
        <v/>
      </c>
      <c r="AR17" s="28" t="str">
        <f t="shared" si="7"/>
        <v/>
      </c>
      <c r="AS17" s="28" t="str">
        <f t="shared" si="8"/>
        <v/>
      </c>
      <c r="AT17" s="22" t="str">
        <f t="shared" si="9"/>
        <v/>
      </c>
      <c r="AU17" s="31"/>
      <c r="AV17" s="32"/>
      <c r="AW17" s="25"/>
      <c r="AX17" s="21" t="str">
        <f t="shared" si="10"/>
        <v/>
      </c>
      <c r="AY17" s="21" t="str">
        <f>IF(AX17="","",COUNTIF(AX$5:AX17,AX17))</f>
        <v/>
      </c>
    </row>
    <row r="18" spans="1:51" ht="15" customHeight="1" x14ac:dyDescent="0.25">
      <c r="A18" s="33" t="str">
        <f t="shared" si="0"/>
        <v/>
      </c>
      <c r="B18" s="34"/>
      <c r="C18" s="35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4"/>
      <c r="U18" s="35"/>
      <c r="V18" s="37"/>
      <c r="W18" s="37"/>
      <c r="X18" s="38" t="str">
        <f t="shared" si="1"/>
        <v/>
      </c>
      <c r="Y18" s="39" t="str">
        <f t="shared" si="2"/>
        <v/>
      </c>
      <c r="Z18" s="37"/>
      <c r="AA18" s="37"/>
      <c r="AB18" s="37"/>
      <c r="AC18" s="38" t="str">
        <f t="shared" si="3"/>
        <v/>
      </c>
      <c r="AD18" s="37"/>
      <c r="AE18" s="36"/>
      <c r="AF18" s="36"/>
      <c r="AG18" s="40"/>
      <c r="AH18" s="36"/>
      <c r="AI18" s="40"/>
      <c r="AJ18" s="36"/>
      <c r="AK18" s="36"/>
      <c r="AL18" s="36"/>
      <c r="AM18" s="34"/>
      <c r="AN18" s="35"/>
      <c r="AO18" s="41" t="str">
        <f t="shared" si="4"/>
        <v/>
      </c>
      <c r="AP18" s="39" t="str">
        <f t="shared" si="5"/>
        <v/>
      </c>
      <c r="AQ18" s="39" t="str">
        <f t="shared" si="6"/>
        <v/>
      </c>
      <c r="AR18" s="39" t="str">
        <f t="shared" si="7"/>
        <v/>
      </c>
      <c r="AS18" s="39" t="str">
        <f t="shared" si="8"/>
        <v/>
      </c>
      <c r="AT18" s="33" t="str">
        <f t="shared" si="9"/>
        <v/>
      </c>
      <c r="AU18" s="31"/>
      <c r="AV18" s="32"/>
      <c r="AW18" s="36"/>
      <c r="AX18" s="21" t="str">
        <f t="shared" si="10"/>
        <v/>
      </c>
      <c r="AY18" s="21" t="str">
        <f>IF(AX18="","",COUNTIF(AX$5:AX18,AX18))</f>
        <v/>
      </c>
    </row>
    <row r="19" spans="1:51" ht="15" customHeight="1" x14ac:dyDescent="0.25">
      <c r="A19" s="22" t="str">
        <f t="shared" si="0"/>
        <v/>
      </c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3"/>
      <c r="U19" s="24"/>
      <c r="V19" s="26"/>
      <c r="W19" s="26"/>
      <c r="X19" s="27" t="str">
        <f t="shared" si="1"/>
        <v/>
      </c>
      <c r="Y19" s="28" t="str">
        <f t="shared" si="2"/>
        <v/>
      </c>
      <c r="Z19" s="26"/>
      <c r="AA19" s="26"/>
      <c r="AB19" s="26"/>
      <c r="AC19" s="27" t="str">
        <f t="shared" si="3"/>
        <v/>
      </c>
      <c r="AD19" s="26"/>
      <c r="AE19" s="25"/>
      <c r="AF19" s="25"/>
      <c r="AG19" s="29"/>
      <c r="AH19" s="25"/>
      <c r="AI19" s="29"/>
      <c r="AJ19" s="25"/>
      <c r="AK19" s="25"/>
      <c r="AL19" s="25"/>
      <c r="AM19" s="23"/>
      <c r="AN19" s="24"/>
      <c r="AO19" s="30" t="str">
        <f t="shared" si="4"/>
        <v/>
      </c>
      <c r="AP19" s="28" t="str">
        <f t="shared" si="5"/>
        <v/>
      </c>
      <c r="AQ19" s="28" t="str">
        <f t="shared" si="6"/>
        <v/>
      </c>
      <c r="AR19" s="28" t="str">
        <f t="shared" si="7"/>
        <v/>
      </c>
      <c r="AS19" s="28" t="str">
        <f t="shared" si="8"/>
        <v/>
      </c>
      <c r="AT19" s="22" t="str">
        <f t="shared" si="9"/>
        <v/>
      </c>
      <c r="AU19" s="31"/>
      <c r="AV19" s="32"/>
      <c r="AW19" s="25"/>
      <c r="AX19" s="21" t="str">
        <f t="shared" si="10"/>
        <v/>
      </c>
      <c r="AY19" s="21" t="str">
        <f>IF(AX19="","",COUNTIF(AX$5:AX19,AX19))</f>
        <v/>
      </c>
    </row>
    <row r="20" spans="1:51" ht="15" customHeight="1" x14ac:dyDescent="0.25">
      <c r="A20" s="33" t="str">
        <f t="shared" si="0"/>
        <v/>
      </c>
      <c r="B20" s="34"/>
      <c r="C20" s="35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4"/>
      <c r="U20" s="35"/>
      <c r="V20" s="37"/>
      <c r="W20" s="37"/>
      <c r="X20" s="38" t="str">
        <f t="shared" si="1"/>
        <v/>
      </c>
      <c r="Y20" s="39" t="str">
        <f t="shared" si="2"/>
        <v/>
      </c>
      <c r="Z20" s="37"/>
      <c r="AA20" s="37"/>
      <c r="AB20" s="37"/>
      <c r="AC20" s="38" t="str">
        <f t="shared" si="3"/>
        <v/>
      </c>
      <c r="AD20" s="37"/>
      <c r="AE20" s="36"/>
      <c r="AF20" s="36"/>
      <c r="AG20" s="40"/>
      <c r="AH20" s="36"/>
      <c r="AI20" s="40"/>
      <c r="AJ20" s="36"/>
      <c r="AK20" s="36"/>
      <c r="AL20" s="36"/>
      <c r="AM20" s="34"/>
      <c r="AN20" s="35"/>
      <c r="AO20" s="41" t="str">
        <f t="shared" si="4"/>
        <v/>
      </c>
      <c r="AP20" s="39" t="str">
        <f t="shared" si="5"/>
        <v/>
      </c>
      <c r="AQ20" s="39" t="str">
        <f t="shared" si="6"/>
        <v/>
      </c>
      <c r="AR20" s="39" t="str">
        <f t="shared" si="7"/>
        <v/>
      </c>
      <c r="AS20" s="39" t="str">
        <f t="shared" si="8"/>
        <v/>
      </c>
      <c r="AT20" s="33" t="str">
        <f t="shared" si="9"/>
        <v/>
      </c>
      <c r="AU20" s="31"/>
      <c r="AV20" s="32"/>
      <c r="AW20" s="36"/>
      <c r="AX20" s="21" t="str">
        <f t="shared" si="10"/>
        <v/>
      </c>
      <c r="AY20" s="21" t="str">
        <f>IF(AX20="","",COUNTIF(AX$5:AX20,AX20))</f>
        <v/>
      </c>
    </row>
    <row r="21" spans="1:51" ht="15" customHeight="1" x14ac:dyDescent="0.25">
      <c r="A21" s="22" t="str">
        <f t="shared" si="0"/>
        <v/>
      </c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3"/>
      <c r="U21" s="24"/>
      <c r="V21" s="26"/>
      <c r="W21" s="26"/>
      <c r="X21" s="27" t="str">
        <f t="shared" si="1"/>
        <v/>
      </c>
      <c r="Y21" s="28" t="str">
        <f t="shared" si="2"/>
        <v/>
      </c>
      <c r="Z21" s="26"/>
      <c r="AA21" s="26"/>
      <c r="AB21" s="26"/>
      <c r="AC21" s="27" t="str">
        <f t="shared" si="3"/>
        <v/>
      </c>
      <c r="AD21" s="26"/>
      <c r="AE21" s="25"/>
      <c r="AF21" s="25"/>
      <c r="AG21" s="29"/>
      <c r="AH21" s="25"/>
      <c r="AI21" s="29"/>
      <c r="AJ21" s="25"/>
      <c r="AK21" s="25"/>
      <c r="AL21" s="25"/>
      <c r="AM21" s="23"/>
      <c r="AN21" s="24"/>
      <c r="AO21" s="30" t="str">
        <f t="shared" si="4"/>
        <v/>
      </c>
      <c r="AP21" s="28" t="str">
        <f t="shared" si="5"/>
        <v/>
      </c>
      <c r="AQ21" s="28" t="str">
        <f t="shared" si="6"/>
        <v/>
      </c>
      <c r="AR21" s="28" t="str">
        <f t="shared" si="7"/>
        <v/>
      </c>
      <c r="AS21" s="28" t="str">
        <f t="shared" si="8"/>
        <v/>
      </c>
      <c r="AT21" s="22" t="str">
        <f t="shared" si="9"/>
        <v/>
      </c>
      <c r="AU21" s="31"/>
      <c r="AV21" s="32"/>
      <c r="AW21" s="25"/>
      <c r="AX21" s="21" t="str">
        <f t="shared" si="10"/>
        <v/>
      </c>
      <c r="AY21" s="21" t="str">
        <f>IF(AX21="","",COUNTIF(AX$5:AX21,AX21))</f>
        <v/>
      </c>
    </row>
    <row r="22" spans="1:51" ht="15" customHeight="1" x14ac:dyDescent="0.25">
      <c r="A22" s="33" t="str">
        <f t="shared" si="0"/>
        <v/>
      </c>
      <c r="B22" s="34"/>
      <c r="C22" s="35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4"/>
      <c r="U22" s="35"/>
      <c r="V22" s="37"/>
      <c r="W22" s="37"/>
      <c r="X22" s="38" t="str">
        <f t="shared" si="1"/>
        <v/>
      </c>
      <c r="Y22" s="39" t="str">
        <f t="shared" si="2"/>
        <v/>
      </c>
      <c r="Z22" s="37"/>
      <c r="AA22" s="37"/>
      <c r="AB22" s="37"/>
      <c r="AC22" s="38" t="str">
        <f t="shared" si="3"/>
        <v/>
      </c>
      <c r="AD22" s="37"/>
      <c r="AE22" s="36"/>
      <c r="AF22" s="36"/>
      <c r="AG22" s="40"/>
      <c r="AH22" s="36"/>
      <c r="AI22" s="40"/>
      <c r="AJ22" s="36"/>
      <c r="AK22" s="36"/>
      <c r="AL22" s="36"/>
      <c r="AM22" s="34"/>
      <c r="AN22" s="35"/>
      <c r="AO22" s="41" t="str">
        <f t="shared" si="4"/>
        <v/>
      </c>
      <c r="AP22" s="39" t="str">
        <f t="shared" si="5"/>
        <v/>
      </c>
      <c r="AQ22" s="39" t="str">
        <f t="shared" si="6"/>
        <v/>
      </c>
      <c r="AR22" s="39" t="str">
        <f t="shared" si="7"/>
        <v/>
      </c>
      <c r="AS22" s="39" t="str">
        <f t="shared" si="8"/>
        <v/>
      </c>
      <c r="AT22" s="33" t="str">
        <f t="shared" si="9"/>
        <v/>
      </c>
      <c r="AU22" s="31"/>
      <c r="AV22" s="32"/>
      <c r="AW22" s="36"/>
      <c r="AX22" s="21" t="str">
        <f t="shared" si="10"/>
        <v/>
      </c>
      <c r="AY22" s="21" t="str">
        <f>IF(AX22="","",COUNTIF(AX$5:AX22,AX22))</f>
        <v/>
      </c>
    </row>
    <row r="23" spans="1:51" ht="15" customHeight="1" x14ac:dyDescent="0.25">
      <c r="A23" s="22" t="str">
        <f t="shared" si="0"/>
        <v/>
      </c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3"/>
      <c r="U23" s="24"/>
      <c r="V23" s="26"/>
      <c r="W23" s="26"/>
      <c r="X23" s="27" t="str">
        <f t="shared" si="1"/>
        <v/>
      </c>
      <c r="Y23" s="28" t="str">
        <f t="shared" si="2"/>
        <v/>
      </c>
      <c r="Z23" s="26"/>
      <c r="AA23" s="26"/>
      <c r="AB23" s="26"/>
      <c r="AC23" s="27" t="str">
        <f t="shared" si="3"/>
        <v/>
      </c>
      <c r="AD23" s="26"/>
      <c r="AE23" s="25"/>
      <c r="AF23" s="25"/>
      <c r="AG23" s="29"/>
      <c r="AH23" s="25"/>
      <c r="AI23" s="29"/>
      <c r="AJ23" s="25"/>
      <c r="AK23" s="25"/>
      <c r="AL23" s="25"/>
      <c r="AM23" s="23"/>
      <c r="AN23" s="24"/>
      <c r="AO23" s="30" t="str">
        <f t="shared" si="4"/>
        <v/>
      </c>
      <c r="AP23" s="28" t="str">
        <f t="shared" si="5"/>
        <v/>
      </c>
      <c r="AQ23" s="28" t="str">
        <f t="shared" si="6"/>
        <v/>
      </c>
      <c r="AR23" s="28" t="str">
        <f t="shared" si="7"/>
        <v/>
      </c>
      <c r="AS23" s="28" t="str">
        <f t="shared" si="8"/>
        <v/>
      </c>
      <c r="AT23" s="22" t="str">
        <f t="shared" si="9"/>
        <v/>
      </c>
      <c r="AU23" s="31"/>
      <c r="AV23" s="32"/>
      <c r="AW23" s="25"/>
      <c r="AX23" s="21" t="str">
        <f t="shared" si="10"/>
        <v/>
      </c>
      <c r="AY23" s="21" t="str">
        <f>IF(AX23="","",COUNTIF(AX$5:AX23,AX23))</f>
        <v/>
      </c>
    </row>
    <row r="24" spans="1:51" ht="15" customHeight="1" x14ac:dyDescent="0.25">
      <c r="A24" s="33" t="str">
        <f t="shared" si="0"/>
        <v/>
      </c>
      <c r="B24" s="34"/>
      <c r="C24" s="35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4"/>
      <c r="U24" s="35"/>
      <c r="V24" s="37"/>
      <c r="W24" s="37"/>
      <c r="X24" s="38" t="str">
        <f t="shared" si="1"/>
        <v/>
      </c>
      <c r="Y24" s="39" t="str">
        <f t="shared" si="2"/>
        <v/>
      </c>
      <c r="Z24" s="37"/>
      <c r="AA24" s="37"/>
      <c r="AB24" s="37"/>
      <c r="AC24" s="38" t="str">
        <f t="shared" si="3"/>
        <v/>
      </c>
      <c r="AD24" s="37"/>
      <c r="AE24" s="36"/>
      <c r="AF24" s="36"/>
      <c r="AG24" s="40"/>
      <c r="AH24" s="36"/>
      <c r="AI24" s="40"/>
      <c r="AJ24" s="36"/>
      <c r="AK24" s="36"/>
      <c r="AL24" s="36"/>
      <c r="AM24" s="34"/>
      <c r="AN24" s="35"/>
      <c r="AO24" s="41" t="str">
        <f t="shared" si="4"/>
        <v/>
      </c>
      <c r="AP24" s="39" t="str">
        <f t="shared" si="5"/>
        <v/>
      </c>
      <c r="AQ24" s="39" t="str">
        <f t="shared" si="6"/>
        <v/>
      </c>
      <c r="AR24" s="39" t="str">
        <f t="shared" si="7"/>
        <v/>
      </c>
      <c r="AS24" s="39" t="str">
        <f t="shared" si="8"/>
        <v/>
      </c>
      <c r="AT24" s="33" t="str">
        <f t="shared" si="9"/>
        <v/>
      </c>
      <c r="AU24" s="31"/>
      <c r="AV24" s="32"/>
      <c r="AW24" s="36"/>
      <c r="AX24" s="21" t="str">
        <f t="shared" si="10"/>
        <v/>
      </c>
      <c r="AY24" s="21" t="str">
        <f>IF(AX24="","",COUNTIF(AX$5:AX24,AX24))</f>
        <v/>
      </c>
    </row>
    <row r="25" spans="1:51" ht="15" customHeight="1" x14ac:dyDescent="0.25">
      <c r="A25" s="22" t="str">
        <f t="shared" si="0"/>
        <v/>
      </c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3"/>
      <c r="U25" s="24"/>
      <c r="V25" s="26"/>
      <c r="W25" s="26"/>
      <c r="X25" s="27" t="str">
        <f t="shared" si="1"/>
        <v/>
      </c>
      <c r="Y25" s="28" t="str">
        <f t="shared" si="2"/>
        <v/>
      </c>
      <c r="Z25" s="26"/>
      <c r="AA25" s="26"/>
      <c r="AB25" s="26"/>
      <c r="AC25" s="27" t="str">
        <f t="shared" si="3"/>
        <v/>
      </c>
      <c r="AD25" s="26"/>
      <c r="AE25" s="25"/>
      <c r="AF25" s="25"/>
      <c r="AG25" s="29"/>
      <c r="AH25" s="25"/>
      <c r="AI25" s="29"/>
      <c r="AJ25" s="25"/>
      <c r="AK25" s="25"/>
      <c r="AL25" s="25"/>
      <c r="AM25" s="23"/>
      <c r="AN25" s="24"/>
      <c r="AO25" s="30" t="str">
        <f t="shared" si="4"/>
        <v/>
      </c>
      <c r="AP25" s="28" t="str">
        <f t="shared" si="5"/>
        <v/>
      </c>
      <c r="AQ25" s="28" t="str">
        <f t="shared" si="6"/>
        <v/>
      </c>
      <c r="AR25" s="28" t="str">
        <f t="shared" si="7"/>
        <v/>
      </c>
      <c r="AS25" s="28" t="str">
        <f t="shared" si="8"/>
        <v/>
      </c>
      <c r="AT25" s="22" t="str">
        <f t="shared" si="9"/>
        <v/>
      </c>
      <c r="AU25" s="31"/>
      <c r="AV25" s="32"/>
      <c r="AW25" s="25"/>
      <c r="AX25" s="21" t="str">
        <f t="shared" si="10"/>
        <v/>
      </c>
      <c r="AY25" s="21" t="str">
        <f>IF(AX25="","",COUNTIF(AX$5:AX25,AX25))</f>
        <v/>
      </c>
    </row>
    <row r="26" spans="1:51" ht="15" customHeight="1" x14ac:dyDescent="0.25">
      <c r="A26" s="33" t="str">
        <f t="shared" si="0"/>
        <v/>
      </c>
      <c r="B26" s="34"/>
      <c r="C26" s="35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4"/>
      <c r="U26" s="35"/>
      <c r="V26" s="37"/>
      <c r="W26" s="37"/>
      <c r="X26" s="38" t="str">
        <f t="shared" si="1"/>
        <v/>
      </c>
      <c r="Y26" s="39" t="str">
        <f t="shared" si="2"/>
        <v/>
      </c>
      <c r="Z26" s="37"/>
      <c r="AA26" s="37"/>
      <c r="AB26" s="37"/>
      <c r="AC26" s="38" t="str">
        <f t="shared" si="3"/>
        <v/>
      </c>
      <c r="AD26" s="37"/>
      <c r="AE26" s="36"/>
      <c r="AF26" s="36"/>
      <c r="AG26" s="40"/>
      <c r="AH26" s="36"/>
      <c r="AI26" s="40"/>
      <c r="AJ26" s="36"/>
      <c r="AK26" s="36"/>
      <c r="AL26" s="36"/>
      <c r="AM26" s="34"/>
      <c r="AN26" s="35"/>
      <c r="AO26" s="41" t="str">
        <f t="shared" si="4"/>
        <v/>
      </c>
      <c r="AP26" s="39" t="str">
        <f t="shared" si="5"/>
        <v/>
      </c>
      <c r="AQ26" s="39" t="str">
        <f t="shared" si="6"/>
        <v/>
      </c>
      <c r="AR26" s="39" t="str">
        <f t="shared" si="7"/>
        <v/>
      </c>
      <c r="AS26" s="39" t="str">
        <f t="shared" si="8"/>
        <v/>
      </c>
      <c r="AT26" s="33" t="str">
        <f t="shared" si="9"/>
        <v/>
      </c>
      <c r="AU26" s="31"/>
      <c r="AV26" s="32"/>
      <c r="AW26" s="36"/>
      <c r="AX26" s="21" t="str">
        <f t="shared" si="10"/>
        <v/>
      </c>
      <c r="AY26" s="21" t="str">
        <f>IF(AX26="","",COUNTIF(AX$5:AX26,AX26))</f>
        <v/>
      </c>
    </row>
    <row r="27" spans="1:51" ht="15" customHeight="1" x14ac:dyDescent="0.25">
      <c r="A27" s="22" t="str">
        <f t="shared" si="0"/>
        <v/>
      </c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3"/>
      <c r="U27" s="24"/>
      <c r="V27" s="26"/>
      <c r="W27" s="26"/>
      <c r="X27" s="27" t="str">
        <f t="shared" si="1"/>
        <v/>
      </c>
      <c r="Y27" s="28" t="str">
        <f t="shared" si="2"/>
        <v/>
      </c>
      <c r="Z27" s="26"/>
      <c r="AA27" s="26"/>
      <c r="AB27" s="26"/>
      <c r="AC27" s="27" t="str">
        <f t="shared" si="3"/>
        <v/>
      </c>
      <c r="AD27" s="26"/>
      <c r="AE27" s="25"/>
      <c r="AF27" s="25"/>
      <c r="AG27" s="29"/>
      <c r="AH27" s="25"/>
      <c r="AI27" s="29"/>
      <c r="AJ27" s="25"/>
      <c r="AK27" s="25"/>
      <c r="AL27" s="25"/>
      <c r="AM27" s="23"/>
      <c r="AN27" s="24"/>
      <c r="AO27" s="30" t="str">
        <f t="shared" si="4"/>
        <v/>
      </c>
      <c r="AP27" s="28" t="str">
        <f t="shared" si="5"/>
        <v/>
      </c>
      <c r="AQ27" s="28" t="str">
        <f t="shared" si="6"/>
        <v/>
      </c>
      <c r="AR27" s="28" t="str">
        <f t="shared" si="7"/>
        <v/>
      </c>
      <c r="AS27" s="28" t="str">
        <f t="shared" si="8"/>
        <v/>
      </c>
      <c r="AT27" s="22" t="str">
        <f t="shared" si="9"/>
        <v/>
      </c>
      <c r="AU27" s="31"/>
      <c r="AV27" s="32"/>
      <c r="AW27" s="25"/>
      <c r="AX27" s="21" t="str">
        <f t="shared" si="10"/>
        <v/>
      </c>
      <c r="AY27" s="21" t="str">
        <f>IF(AX27="","",COUNTIF(AX$5:AX27,AX27))</f>
        <v/>
      </c>
    </row>
    <row r="28" spans="1:51" ht="15" customHeight="1" x14ac:dyDescent="0.25">
      <c r="A28" s="33" t="str">
        <f t="shared" si="0"/>
        <v/>
      </c>
      <c r="B28" s="34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35"/>
      <c r="V28" s="37"/>
      <c r="W28" s="37"/>
      <c r="X28" s="38" t="str">
        <f t="shared" si="1"/>
        <v/>
      </c>
      <c r="Y28" s="39" t="str">
        <f t="shared" si="2"/>
        <v/>
      </c>
      <c r="Z28" s="37"/>
      <c r="AA28" s="37"/>
      <c r="AB28" s="37"/>
      <c r="AC28" s="38" t="str">
        <f t="shared" si="3"/>
        <v/>
      </c>
      <c r="AD28" s="37"/>
      <c r="AE28" s="36"/>
      <c r="AF28" s="36"/>
      <c r="AG28" s="40"/>
      <c r="AH28" s="36"/>
      <c r="AI28" s="40"/>
      <c r="AJ28" s="36"/>
      <c r="AK28" s="36"/>
      <c r="AL28" s="36"/>
      <c r="AM28" s="34"/>
      <c r="AN28" s="35"/>
      <c r="AO28" s="41" t="str">
        <f t="shared" si="4"/>
        <v/>
      </c>
      <c r="AP28" s="39" t="str">
        <f t="shared" si="5"/>
        <v/>
      </c>
      <c r="AQ28" s="39" t="str">
        <f t="shared" si="6"/>
        <v/>
      </c>
      <c r="AR28" s="39" t="str">
        <f t="shared" si="7"/>
        <v/>
      </c>
      <c r="AS28" s="39" t="str">
        <f t="shared" si="8"/>
        <v/>
      </c>
      <c r="AT28" s="33" t="str">
        <f t="shared" si="9"/>
        <v/>
      </c>
      <c r="AU28" s="31"/>
      <c r="AV28" s="32"/>
      <c r="AW28" s="36"/>
      <c r="AX28" s="21" t="str">
        <f t="shared" si="10"/>
        <v/>
      </c>
      <c r="AY28" s="21" t="str">
        <f>IF(AX28="","",COUNTIF(AX$5:AX28,AX28))</f>
        <v/>
      </c>
    </row>
    <row r="29" spans="1:51" ht="15" customHeight="1" x14ac:dyDescent="0.25">
      <c r="A29" s="22" t="str">
        <f t="shared" si="0"/>
        <v/>
      </c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3"/>
      <c r="U29" s="24"/>
      <c r="V29" s="26"/>
      <c r="W29" s="26"/>
      <c r="X29" s="27" t="str">
        <f t="shared" si="1"/>
        <v/>
      </c>
      <c r="Y29" s="28" t="str">
        <f t="shared" si="2"/>
        <v/>
      </c>
      <c r="Z29" s="26"/>
      <c r="AA29" s="26"/>
      <c r="AB29" s="26"/>
      <c r="AC29" s="27" t="str">
        <f t="shared" si="3"/>
        <v/>
      </c>
      <c r="AD29" s="26"/>
      <c r="AE29" s="25"/>
      <c r="AF29" s="25"/>
      <c r="AG29" s="29"/>
      <c r="AH29" s="25"/>
      <c r="AI29" s="29"/>
      <c r="AJ29" s="25"/>
      <c r="AK29" s="25"/>
      <c r="AL29" s="25"/>
      <c r="AM29" s="23"/>
      <c r="AN29" s="24"/>
      <c r="AO29" s="30" t="str">
        <f t="shared" si="4"/>
        <v/>
      </c>
      <c r="AP29" s="28" t="str">
        <f t="shared" si="5"/>
        <v/>
      </c>
      <c r="AQ29" s="28" t="str">
        <f t="shared" si="6"/>
        <v/>
      </c>
      <c r="AR29" s="28" t="str">
        <f t="shared" si="7"/>
        <v/>
      </c>
      <c r="AS29" s="28" t="str">
        <f t="shared" si="8"/>
        <v/>
      </c>
      <c r="AT29" s="22" t="str">
        <f t="shared" si="9"/>
        <v/>
      </c>
      <c r="AU29" s="31"/>
      <c r="AV29" s="32"/>
      <c r="AW29" s="25"/>
      <c r="AX29" s="21" t="str">
        <f t="shared" si="10"/>
        <v/>
      </c>
      <c r="AY29" s="21" t="str">
        <f>IF(AX29="","",COUNTIF(AX$5:AX29,AX29))</f>
        <v/>
      </c>
    </row>
    <row r="30" spans="1:51" ht="15" customHeight="1" x14ac:dyDescent="0.25">
      <c r="A30" s="33" t="str">
        <f t="shared" si="0"/>
        <v/>
      </c>
      <c r="B30" s="34"/>
      <c r="C30" s="35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4"/>
      <c r="U30" s="35"/>
      <c r="V30" s="37"/>
      <c r="W30" s="37"/>
      <c r="X30" s="38" t="str">
        <f t="shared" si="1"/>
        <v/>
      </c>
      <c r="Y30" s="39" t="str">
        <f t="shared" si="2"/>
        <v/>
      </c>
      <c r="Z30" s="37"/>
      <c r="AA30" s="37"/>
      <c r="AB30" s="37"/>
      <c r="AC30" s="38" t="str">
        <f t="shared" si="3"/>
        <v/>
      </c>
      <c r="AD30" s="37"/>
      <c r="AE30" s="36"/>
      <c r="AF30" s="36"/>
      <c r="AG30" s="40"/>
      <c r="AH30" s="36"/>
      <c r="AI30" s="40"/>
      <c r="AJ30" s="36"/>
      <c r="AK30" s="36"/>
      <c r="AL30" s="36"/>
      <c r="AM30" s="34"/>
      <c r="AN30" s="35"/>
      <c r="AO30" s="41" t="str">
        <f t="shared" si="4"/>
        <v/>
      </c>
      <c r="AP30" s="39" t="str">
        <f t="shared" si="5"/>
        <v/>
      </c>
      <c r="AQ30" s="39" t="str">
        <f t="shared" si="6"/>
        <v/>
      </c>
      <c r="AR30" s="39" t="str">
        <f t="shared" si="7"/>
        <v/>
      </c>
      <c r="AS30" s="39" t="str">
        <f t="shared" si="8"/>
        <v/>
      </c>
      <c r="AT30" s="33" t="str">
        <f t="shared" si="9"/>
        <v/>
      </c>
      <c r="AU30" s="31"/>
      <c r="AV30" s="32"/>
      <c r="AW30" s="36"/>
      <c r="AX30" s="21" t="str">
        <f t="shared" si="10"/>
        <v/>
      </c>
      <c r="AY30" s="21" t="str">
        <f>IF(AX30="","",COUNTIF(AX$5:AX30,AX30))</f>
        <v/>
      </c>
    </row>
    <row r="31" spans="1:51" ht="15" customHeight="1" x14ac:dyDescent="0.25">
      <c r="A31" s="22" t="str">
        <f t="shared" si="0"/>
        <v/>
      </c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3"/>
      <c r="U31" s="24"/>
      <c r="V31" s="26"/>
      <c r="W31" s="26"/>
      <c r="X31" s="27" t="str">
        <f t="shared" si="1"/>
        <v/>
      </c>
      <c r="Y31" s="28" t="str">
        <f t="shared" si="2"/>
        <v/>
      </c>
      <c r="Z31" s="26"/>
      <c r="AA31" s="26"/>
      <c r="AB31" s="26"/>
      <c r="AC31" s="27" t="str">
        <f t="shared" si="3"/>
        <v/>
      </c>
      <c r="AD31" s="26"/>
      <c r="AE31" s="25"/>
      <c r="AF31" s="25"/>
      <c r="AG31" s="29"/>
      <c r="AH31" s="25"/>
      <c r="AI31" s="29"/>
      <c r="AJ31" s="25"/>
      <c r="AK31" s="25"/>
      <c r="AL31" s="25"/>
      <c r="AM31" s="23"/>
      <c r="AN31" s="24"/>
      <c r="AO31" s="30" t="str">
        <f t="shared" si="4"/>
        <v/>
      </c>
      <c r="AP31" s="28" t="str">
        <f t="shared" si="5"/>
        <v/>
      </c>
      <c r="AQ31" s="28" t="str">
        <f t="shared" si="6"/>
        <v/>
      </c>
      <c r="AR31" s="28" t="str">
        <f t="shared" si="7"/>
        <v/>
      </c>
      <c r="AS31" s="28" t="str">
        <f t="shared" si="8"/>
        <v/>
      </c>
      <c r="AT31" s="22" t="str">
        <f t="shared" si="9"/>
        <v/>
      </c>
      <c r="AU31" s="31"/>
      <c r="AV31" s="32"/>
      <c r="AW31" s="25"/>
      <c r="AX31" s="21" t="str">
        <f t="shared" si="10"/>
        <v/>
      </c>
      <c r="AY31" s="21" t="str">
        <f>IF(AX31="","",COUNTIF(AX$5:AX31,AX31))</f>
        <v/>
      </c>
    </row>
    <row r="32" spans="1:51" ht="15" customHeight="1" x14ac:dyDescent="0.25">
      <c r="A32" s="33" t="str">
        <f t="shared" si="0"/>
        <v/>
      </c>
      <c r="B32" s="34"/>
      <c r="C32" s="35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4"/>
      <c r="U32" s="35"/>
      <c r="V32" s="37"/>
      <c r="W32" s="37"/>
      <c r="X32" s="38" t="str">
        <f t="shared" si="1"/>
        <v/>
      </c>
      <c r="Y32" s="39" t="str">
        <f t="shared" si="2"/>
        <v/>
      </c>
      <c r="Z32" s="37"/>
      <c r="AA32" s="37"/>
      <c r="AB32" s="37"/>
      <c r="AC32" s="38" t="str">
        <f t="shared" si="3"/>
        <v/>
      </c>
      <c r="AD32" s="37"/>
      <c r="AE32" s="36"/>
      <c r="AF32" s="36"/>
      <c r="AG32" s="40"/>
      <c r="AH32" s="36"/>
      <c r="AI32" s="40"/>
      <c r="AJ32" s="36"/>
      <c r="AK32" s="36"/>
      <c r="AL32" s="36"/>
      <c r="AM32" s="34"/>
      <c r="AN32" s="35"/>
      <c r="AO32" s="41" t="str">
        <f t="shared" si="4"/>
        <v/>
      </c>
      <c r="AP32" s="39" t="str">
        <f t="shared" si="5"/>
        <v/>
      </c>
      <c r="AQ32" s="39" t="str">
        <f t="shared" si="6"/>
        <v/>
      </c>
      <c r="AR32" s="39" t="str">
        <f t="shared" si="7"/>
        <v/>
      </c>
      <c r="AS32" s="39" t="str">
        <f t="shared" si="8"/>
        <v/>
      </c>
      <c r="AT32" s="33" t="str">
        <f t="shared" si="9"/>
        <v/>
      </c>
      <c r="AU32" s="31"/>
      <c r="AV32" s="32"/>
      <c r="AW32" s="36"/>
      <c r="AX32" s="21" t="str">
        <f t="shared" si="10"/>
        <v/>
      </c>
      <c r="AY32" s="21" t="str">
        <f>IF(AX32="","",COUNTIF(AX$5:AX32,AX32))</f>
        <v/>
      </c>
    </row>
    <row r="33" spans="1:51" ht="15" customHeight="1" x14ac:dyDescent="0.25">
      <c r="A33" s="22" t="str">
        <f t="shared" si="0"/>
        <v/>
      </c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3"/>
      <c r="U33" s="24"/>
      <c r="V33" s="26"/>
      <c r="W33" s="26"/>
      <c r="X33" s="27" t="str">
        <f t="shared" si="1"/>
        <v/>
      </c>
      <c r="Y33" s="28" t="str">
        <f t="shared" si="2"/>
        <v/>
      </c>
      <c r="Z33" s="26"/>
      <c r="AA33" s="26"/>
      <c r="AB33" s="26"/>
      <c r="AC33" s="27" t="str">
        <f t="shared" si="3"/>
        <v/>
      </c>
      <c r="AD33" s="26"/>
      <c r="AE33" s="25"/>
      <c r="AF33" s="25"/>
      <c r="AG33" s="29"/>
      <c r="AH33" s="25"/>
      <c r="AI33" s="29"/>
      <c r="AJ33" s="25"/>
      <c r="AK33" s="25"/>
      <c r="AL33" s="25"/>
      <c r="AM33" s="23"/>
      <c r="AN33" s="24"/>
      <c r="AO33" s="30" t="str">
        <f t="shared" si="4"/>
        <v/>
      </c>
      <c r="AP33" s="28" t="str">
        <f t="shared" si="5"/>
        <v/>
      </c>
      <c r="AQ33" s="28" t="str">
        <f t="shared" si="6"/>
        <v/>
      </c>
      <c r="AR33" s="28" t="str">
        <f t="shared" si="7"/>
        <v/>
      </c>
      <c r="AS33" s="28" t="str">
        <f t="shared" si="8"/>
        <v/>
      </c>
      <c r="AT33" s="22" t="str">
        <f t="shared" si="9"/>
        <v/>
      </c>
      <c r="AU33" s="31"/>
      <c r="AV33" s="32"/>
      <c r="AW33" s="25"/>
      <c r="AX33" s="21" t="str">
        <f t="shared" si="10"/>
        <v/>
      </c>
      <c r="AY33" s="21" t="str">
        <f>IF(AX33="","",COUNTIF(AX$5:AX33,AX33))</f>
        <v/>
      </c>
    </row>
    <row r="34" spans="1:51" ht="15" customHeight="1" x14ac:dyDescent="0.25">
      <c r="A34" s="33" t="str">
        <f t="shared" si="0"/>
        <v/>
      </c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4"/>
      <c r="U34" s="35"/>
      <c r="V34" s="37"/>
      <c r="W34" s="37"/>
      <c r="X34" s="38" t="str">
        <f t="shared" si="1"/>
        <v/>
      </c>
      <c r="Y34" s="39" t="str">
        <f t="shared" si="2"/>
        <v/>
      </c>
      <c r="Z34" s="37"/>
      <c r="AA34" s="37"/>
      <c r="AB34" s="37"/>
      <c r="AC34" s="38" t="str">
        <f t="shared" si="3"/>
        <v/>
      </c>
      <c r="AD34" s="37"/>
      <c r="AE34" s="36"/>
      <c r="AF34" s="36"/>
      <c r="AG34" s="40"/>
      <c r="AH34" s="36"/>
      <c r="AI34" s="40"/>
      <c r="AJ34" s="36"/>
      <c r="AK34" s="36"/>
      <c r="AL34" s="36"/>
      <c r="AM34" s="34"/>
      <c r="AN34" s="35"/>
      <c r="AO34" s="41" t="str">
        <f t="shared" si="4"/>
        <v/>
      </c>
      <c r="AP34" s="39" t="str">
        <f t="shared" si="5"/>
        <v/>
      </c>
      <c r="AQ34" s="39" t="str">
        <f t="shared" si="6"/>
        <v/>
      </c>
      <c r="AR34" s="39" t="str">
        <f t="shared" si="7"/>
        <v/>
      </c>
      <c r="AS34" s="39" t="str">
        <f t="shared" si="8"/>
        <v/>
      </c>
      <c r="AT34" s="33" t="str">
        <f t="shared" si="9"/>
        <v/>
      </c>
      <c r="AU34" s="31"/>
      <c r="AV34" s="32"/>
      <c r="AW34" s="36"/>
      <c r="AX34" s="21" t="str">
        <f t="shared" si="10"/>
        <v/>
      </c>
      <c r="AY34" s="21" t="str">
        <f>IF(AX34="","",COUNTIF(AX$5:AX34,AX34))</f>
        <v/>
      </c>
    </row>
    <row r="35" spans="1:51" ht="15" customHeight="1" x14ac:dyDescent="0.25">
      <c r="A35" s="22" t="str">
        <f t="shared" si="0"/>
        <v/>
      </c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3"/>
      <c r="U35" s="24"/>
      <c r="V35" s="26"/>
      <c r="W35" s="26"/>
      <c r="X35" s="27" t="str">
        <f t="shared" si="1"/>
        <v/>
      </c>
      <c r="Y35" s="28" t="str">
        <f t="shared" si="2"/>
        <v/>
      </c>
      <c r="Z35" s="26"/>
      <c r="AA35" s="26"/>
      <c r="AB35" s="26"/>
      <c r="AC35" s="27" t="str">
        <f t="shared" si="3"/>
        <v/>
      </c>
      <c r="AD35" s="26"/>
      <c r="AE35" s="25"/>
      <c r="AF35" s="25"/>
      <c r="AG35" s="29"/>
      <c r="AH35" s="25"/>
      <c r="AI35" s="29"/>
      <c r="AJ35" s="25"/>
      <c r="AK35" s="25"/>
      <c r="AL35" s="25"/>
      <c r="AM35" s="23"/>
      <c r="AN35" s="24"/>
      <c r="AO35" s="30" t="str">
        <f t="shared" si="4"/>
        <v/>
      </c>
      <c r="AP35" s="28" t="str">
        <f t="shared" si="5"/>
        <v/>
      </c>
      <c r="AQ35" s="28" t="str">
        <f t="shared" si="6"/>
        <v/>
      </c>
      <c r="AR35" s="28" t="str">
        <f t="shared" si="7"/>
        <v/>
      </c>
      <c r="AS35" s="28" t="str">
        <f t="shared" si="8"/>
        <v/>
      </c>
      <c r="AT35" s="22" t="str">
        <f t="shared" si="9"/>
        <v/>
      </c>
      <c r="AU35" s="31"/>
      <c r="AV35" s="32"/>
      <c r="AW35" s="25"/>
      <c r="AX35" s="21" t="str">
        <f t="shared" si="10"/>
        <v/>
      </c>
      <c r="AY35" s="21" t="str">
        <f>IF(AX35="","",COUNTIF(AX$5:AX35,AX35))</f>
        <v/>
      </c>
    </row>
    <row r="36" spans="1:51" ht="15" customHeight="1" x14ac:dyDescent="0.25">
      <c r="A36" s="33" t="str">
        <f t="shared" si="0"/>
        <v/>
      </c>
      <c r="B36" s="34"/>
      <c r="C36" s="35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4"/>
      <c r="U36" s="35"/>
      <c r="V36" s="37"/>
      <c r="W36" s="37"/>
      <c r="X36" s="38" t="str">
        <f t="shared" si="1"/>
        <v/>
      </c>
      <c r="Y36" s="39" t="str">
        <f t="shared" si="2"/>
        <v/>
      </c>
      <c r="Z36" s="37"/>
      <c r="AA36" s="37"/>
      <c r="AB36" s="37"/>
      <c r="AC36" s="38" t="str">
        <f t="shared" si="3"/>
        <v/>
      </c>
      <c r="AD36" s="37"/>
      <c r="AE36" s="36"/>
      <c r="AF36" s="36"/>
      <c r="AG36" s="40"/>
      <c r="AH36" s="36"/>
      <c r="AI36" s="40"/>
      <c r="AJ36" s="36"/>
      <c r="AK36" s="36"/>
      <c r="AL36" s="36"/>
      <c r="AM36" s="34"/>
      <c r="AN36" s="35"/>
      <c r="AO36" s="41" t="str">
        <f t="shared" si="4"/>
        <v/>
      </c>
      <c r="AP36" s="39" t="str">
        <f t="shared" si="5"/>
        <v/>
      </c>
      <c r="AQ36" s="39" t="str">
        <f t="shared" si="6"/>
        <v/>
      </c>
      <c r="AR36" s="39" t="str">
        <f t="shared" si="7"/>
        <v/>
      </c>
      <c r="AS36" s="39" t="str">
        <f t="shared" si="8"/>
        <v/>
      </c>
      <c r="AT36" s="33" t="str">
        <f t="shared" si="9"/>
        <v/>
      </c>
      <c r="AU36" s="31"/>
      <c r="AV36" s="32"/>
      <c r="AW36" s="36"/>
      <c r="AX36" s="21" t="str">
        <f t="shared" si="10"/>
        <v/>
      </c>
      <c r="AY36" s="21" t="str">
        <f>IF(AX36="","",COUNTIF(AX$5:AX36,AX36))</f>
        <v/>
      </c>
    </row>
    <row r="37" spans="1:51" ht="15" customHeight="1" x14ac:dyDescent="0.25">
      <c r="A37" s="22" t="str">
        <f t="shared" ref="A37:A68" si="11">IF(B37&lt;&gt;"","INC-"&amp;TEXT(ROW()-4,"0000"),"")</f>
        <v/>
      </c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3"/>
      <c r="U37" s="24"/>
      <c r="V37" s="26"/>
      <c r="W37" s="26"/>
      <c r="X37" s="27" t="str">
        <f t="shared" ref="X37:X68" si="12">IF(OR(V37&lt;&gt;"",W37&lt;&gt;""),IF(V37="",0,V37)+IF(W37="",0,W37),"")</f>
        <v/>
      </c>
      <c r="Y37" s="28" t="str">
        <f t="shared" ref="Y37:Y68" si="13">IF(X37&lt;&gt;"",X37*0.33,"")</f>
        <v/>
      </c>
      <c r="Z37" s="26"/>
      <c r="AA37" s="26"/>
      <c r="AB37" s="26"/>
      <c r="AC37" s="27" t="str">
        <f t="shared" ref="AC37:AC68" si="14">IF(OR(Z37&lt;&gt;"",AB37&lt;&gt;""),IF(Z37="",0,Z37)+IF(AB37="",0,AB37),"")</f>
        <v/>
      </c>
      <c r="AD37" s="26"/>
      <c r="AE37" s="25"/>
      <c r="AF37" s="25"/>
      <c r="AG37" s="29"/>
      <c r="AH37" s="25"/>
      <c r="AI37" s="29"/>
      <c r="AJ37" s="25"/>
      <c r="AK37" s="25"/>
      <c r="AL37" s="25"/>
      <c r="AM37" s="23"/>
      <c r="AN37" s="24"/>
      <c r="AO37" s="30" t="str">
        <f t="shared" ref="AO37:AO68" si="15">IFERROR(IF(AND(AM37&lt;&gt;"",B37&lt;&gt;""),((AM37+AN37)-(B37+C37))*24,""),"")</f>
        <v/>
      </c>
      <c r="AP37" s="28" t="str">
        <f t="shared" ref="AP37:AP68" si="16">IF(S37="","",IF(S37="Juan Manuel",18.9,IF(S37="Juan Luis",17.5,IF(S37="Raúl",15.8,IF(S37="Adrián",13.5,IF(S37="Paco",13.5,""))))))</f>
        <v/>
      </c>
      <c r="AQ37" s="28" t="str">
        <f t="shared" ref="AQ37:AQ68" si="17">IFERROR(IF(AND(AC37&lt;&gt;"",AP37&lt;&gt;""),(AC37/60)*AP37,""),"")</f>
        <v/>
      </c>
      <c r="AR37" s="28" t="str">
        <f t="shared" ref="AR37:AR68" si="18">IF(Y37&lt;&gt;"",Y37,"")</f>
        <v/>
      </c>
      <c r="AS37" s="28" t="str">
        <f t="shared" ref="AS37:AS68" si="19">IFERROR(IF(OR(AQ37&lt;&gt;"",AG37&lt;&gt;"",AR37&lt;&gt;""),IF(AQ37="",0,AQ37)+IF(AG37="",0,AG37)+IF(AR37="",0,AR37),""),"")</f>
        <v/>
      </c>
      <c r="AT37" s="22" t="str">
        <f t="shared" ref="AT37:AT68" si="20">IF(AS37="","",IF(AS37&gt;150,"⚠️ REVISAR",IF(AS37&gt;80,"⚡ ATENCIÓN","✅ OK")))</f>
        <v/>
      </c>
      <c r="AU37" s="31"/>
      <c r="AV37" s="32"/>
      <c r="AW37" s="25"/>
      <c r="AX37" s="21" t="str">
        <f t="shared" ref="AX37:AX68" si="21">IF(OR(S37="",T37=""),"",S37&amp;TEXT(T37,"YYYYMMDD"))</f>
        <v/>
      </c>
      <c r="AY37" s="21" t="str">
        <f>IF(AX37="","",COUNTIF(AX$5:AX37,AX37))</f>
        <v/>
      </c>
    </row>
    <row r="38" spans="1:51" ht="15" customHeight="1" x14ac:dyDescent="0.25">
      <c r="A38" s="33" t="str">
        <f t="shared" si="11"/>
        <v/>
      </c>
      <c r="B38" s="34"/>
      <c r="C38" s="35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4"/>
      <c r="U38" s="35"/>
      <c r="V38" s="37"/>
      <c r="W38" s="37"/>
      <c r="X38" s="38" t="str">
        <f t="shared" si="12"/>
        <v/>
      </c>
      <c r="Y38" s="39" t="str">
        <f t="shared" si="13"/>
        <v/>
      </c>
      <c r="Z38" s="37"/>
      <c r="AA38" s="37"/>
      <c r="AB38" s="37"/>
      <c r="AC38" s="38" t="str">
        <f t="shared" si="14"/>
        <v/>
      </c>
      <c r="AD38" s="37"/>
      <c r="AE38" s="36"/>
      <c r="AF38" s="36"/>
      <c r="AG38" s="40"/>
      <c r="AH38" s="36"/>
      <c r="AI38" s="40"/>
      <c r="AJ38" s="36"/>
      <c r="AK38" s="36"/>
      <c r="AL38" s="36"/>
      <c r="AM38" s="34"/>
      <c r="AN38" s="35"/>
      <c r="AO38" s="41" t="str">
        <f t="shared" si="15"/>
        <v/>
      </c>
      <c r="AP38" s="39" t="str">
        <f t="shared" si="16"/>
        <v/>
      </c>
      <c r="AQ38" s="39" t="str">
        <f t="shared" si="17"/>
        <v/>
      </c>
      <c r="AR38" s="39" t="str">
        <f t="shared" si="18"/>
        <v/>
      </c>
      <c r="AS38" s="39" t="str">
        <f t="shared" si="19"/>
        <v/>
      </c>
      <c r="AT38" s="33" t="str">
        <f t="shared" si="20"/>
        <v/>
      </c>
      <c r="AU38" s="31"/>
      <c r="AV38" s="32"/>
      <c r="AW38" s="36"/>
      <c r="AX38" s="21" t="str">
        <f t="shared" si="21"/>
        <v/>
      </c>
      <c r="AY38" s="21" t="str">
        <f>IF(AX38="","",COUNTIF(AX$5:AX38,AX38))</f>
        <v/>
      </c>
    </row>
    <row r="39" spans="1:51" ht="15" customHeight="1" x14ac:dyDescent="0.25">
      <c r="A39" s="22" t="str">
        <f t="shared" si="11"/>
        <v/>
      </c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3"/>
      <c r="U39" s="24"/>
      <c r="V39" s="26"/>
      <c r="W39" s="26"/>
      <c r="X39" s="27" t="str">
        <f t="shared" si="12"/>
        <v/>
      </c>
      <c r="Y39" s="28" t="str">
        <f t="shared" si="13"/>
        <v/>
      </c>
      <c r="Z39" s="26"/>
      <c r="AA39" s="26"/>
      <c r="AB39" s="26"/>
      <c r="AC39" s="27" t="str">
        <f t="shared" si="14"/>
        <v/>
      </c>
      <c r="AD39" s="26"/>
      <c r="AE39" s="25"/>
      <c r="AF39" s="25"/>
      <c r="AG39" s="29"/>
      <c r="AH39" s="25"/>
      <c r="AI39" s="29"/>
      <c r="AJ39" s="25"/>
      <c r="AK39" s="25"/>
      <c r="AL39" s="25"/>
      <c r="AM39" s="23"/>
      <c r="AN39" s="24"/>
      <c r="AO39" s="30" t="str">
        <f t="shared" si="15"/>
        <v/>
      </c>
      <c r="AP39" s="28" t="str">
        <f t="shared" si="16"/>
        <v/>
      </c>
      <c r="AQ39" s="28" t="str">
        <f t="shared" si="17"/>
        <v/>
      </c>
      <c r="AR39" s="28" t="str">
        <f t="shared" si="18"/>
        <v/>
      </c>
      <c r="AS39" s="28" t="str">
        <f t="shared" si="19"/>
        <v/>
      </c>
      <c r="AT39" s="22" t="str">
        <f t="shared" si="20"/>
        <v/>
      </c>
      <c r="AU39" s="31"/>
      <c r="AV39" s="32"/>
      <c r="AW39" s="25"/>
      <c r="AX39" s="21" t="str">
        <f t="shared" si="21"/>
        <v/>
      </c>
      <c r="AY39" s="21" t="str">
        <f>IF(AX39="","",COUNTIF(AX$5:AX39,AX39))</f>
        <v/>
      </c>
    </row>
    <row r="40" spans="1:51" ht="15" customHeight="1" x14ac:dyDescent="0.25">
      <c r="A40" s="33" t="str">
        <f t="shared" si="11"/>
        <v/>
      </c>
      <c r="B40" s="34"/>
      <c r="C40" s="35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4"/>
      <c r="U40" s="35"/>
      <c r="V40" s="37"/>
      <c r="W40" s="37"/>
      <c r="X40" s="38" t="str">
        <f t="shared" si="12"/>
        <v/>
      </c>
      <c r="Y40" s="39" t="str">
        <f t="shared" si="13"/>
        <v/>
      </c>
      <c r="Z40" s="37"/>
      <c r="AA40" s="37"/>
      <c r="AB40" s="37"/>
      <c r="AC40" s="38" t="str">
        <f t="shared" si="14"/>
        <v/>
      </c>
      <c r="AD40" s="37"/>
      <c r="AE40" s="36"/>
      <c r="AF40" s="36"/>
      <c r="AG40" s="40"/>
      <c r="AH40" s="36"/>
      <c r="AI40" s="40"/>
      <c r="AJ40" s="36"/>
      <c r="AK40" s="36"/>
      <c r="AL40" s="36"/>
      <c r="AM40" s="34"/>
      <c r="AN40" s="35"/>
      <c r="AO40" s="41" t="str">
        <f t="shared" si="15"/>
        <v/>
      </c>
      <c r="AP40" s="39" t="str">
        <f t="shared" si="16"/>
        <v/>
      </c>
      <c r="AQ40" s="39" t="str">
        <f t="shared" si="17"/>
        <v/>
      </c>
      <c r="AR40" s="39" t="str">
        <f t="shared" si="18"/>
        <v/>
      </c>
      <c r="AS40" s="39" t="str">
        <f t="shared" si="19"/>
        <v/>
      </c>
      <c r="AT40" s="33" t="str">
        <f t="shared" si="20"/>
        <v/>
      </c>
      <c r="AU40" s="31"/>
      <c r="AV40" s="32"/>
      <c r="AW40" s="36"/>
      <c r="AX40" s="21" t="str">
        <f t="shared" si="21"/>
        <v/>
      </c>
      <c r="AY40" s="21" t="str">
        <f>IF(AX40="","",COUNTIF(AX$5:AX40,AX40))</f>
        <v/>
      </c>
    </row>
    <row r="41" spans="1:51" ht="15" customHeight="1" x14ac:dyDescent="0.25">
      <c r="A41" s="22" t="str">
        <f t="shared" si="11"/>
        <v/>
      </c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3"/>
      <c r="U41" s="24"/>
      <c r="V41" s="26"/>
      <c r="W41" s="26"/>
      <c r="X41" s="27" t="str">
        <f t="shared" si="12"/>
        <v/>
      </c>
      <c r="Y41" s="28" t="str">
        <f t="shared" si="13"/>
        <v/>
      </c>
      <c r="Z41" s="26"/>
      <c r="AA41" s="26"/>
      <c r="AB41" s="26"/>
      <c r="AC41" s="27" t="str">
        <f t="shared" si="14"/>
        <v/>
      </c>
      <c r="AD41" s="26"/>
      <c r="AE41" s="25"/>
      <c r="AF41" s="25"/>
      <c r="AG41" s="29"/>
      <c r="AH41" s="25"/>
      <c r="AI41" s="29"/>
      <c r="AJ41" s="25"/>
      <c r="AK41" s="25"/>
      <c r="AL41" s="25"/>
      <c r="AM41" s="23"/>
      <c r="AN41" s="24"/>
      <c r="AO41" s="30" t="str">
        <f t="shared" si="15"/>
        <v/>
      </c>
      <c r="AP41" s="28" t="str">
        <f t="shared" si="16"/>
        <v/>
      </c>
      <c r="AQ41" s="28" t="str">
        <f t="shared" si="17"/>
        <v/>
      </c>
      <c r="AR41" s="28" t="str">
        <f t="shared" si="18"/>
        <v/>
      </c>
      <c r="AS41" s="28" t="str">
        <f t="shared" si="19"/>
        <v/>
      </c>
      <c r="AT41" s="22" t="str">
        <f t="shared" si="20"/>
        <v/>
      </c>
      <c r="AU41" s="31"/>
      <c r="AV41" s="32"/>
      <c r="AW41" s="25"/>
      <c r="AX41" s="21" t="str">
        <f t="shared" si="21"/>
        <v/>
      </c>
      <c r="AY41" s="21" t="str">
        <f>IF(AX41="","",COUNTIF(AX$5:AX41,AX41))</f>
        <v/>
      </c>
    </row>
    <row r="42" spans="1:51" ht="15" customHeight="1" x14ac:dyDescent="0.25">
      <c r="A42" s="33" t="str">
        <f t="shared" si="11"/>
        <v/>
      </c>
      <c r="B42" s="34"/>
      <c r="C42" s="35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4"/>
      <c r="U42" s="35"/>
      <c r="V42" s="37"/>
      <c r="W42" s="37"/>
      <c r="X42" s="38" t="str">
        <f t="shared" si="12"/>
        <v/>
      </c>
      <c r="Y42" s="39" t="str">
        <f t="shared" si="13"/>
        <v/>
      </c>
      <c r="Z42" s="37"/>
      <c r="AA42" s="37"/>
      <c r="AB42" s="37"/>
      <c r="AC42" s="38" t="str">
        <f t="shared" si="14"/>
        <v/>
      </c>
      <c r="AD42" s="37"/>
      <c r="AE42" s="36"/>
      <c r="AF42" s="36"/>
      <c r="AG42" s="40"/>
      <c r="AH42" s="36"/>
      <c r="AI42" s="40"/>
      <c r="AJ42" s="36"/>
      <c r="AK42" s="36"/>
      <c r="AL42" s="36"/>
      <c r="AM42" s="34"/>
      <c r="AN42" s="35"/>
      <c r="AO42" s="41" t="str">
        <f t="shared" si="15"/>
        <v/>
      </c>
      <c r="AP42" s="39" t="str">
        <f t="shared" si="16"/>
        <v/>
      </c>
      <c r="AQ42" s="39" t="str">
        <f t="shared" si="17"/>
        <v/>
      </c>
      <c r="AR42" s="39" t="str">
        <f t="shared" si="18"/>
        <v/>
      </c>
      <c r="AS42" s="39" t="str">
        <f t="shared" si="19"/>
        <v/>
      </c>
      <c r="AT42" s="33" t="str">
        <f t="shared" si="20"/>
        <v/>
      </c>
      <c r="AU42" s="31"/>
      <c r="AV42" s="32"/>
      <c r="AW42" s="36"/>
      <c r="AX42" s="21" t="str">
        <f t="shared" si="21"/>
        <v/>
      </c>
      <c r="AY42" s="21" t="str">
        <f>IF(AX42="","",COUNTIF(AX$5:AX42,AX42))</f>
        <v/>
      </c>
    </row>
    <row r="43" spans="1:51" ht="15" customHeight="1" x14ac:dyDescent="0.25">
      <c r="A43" s="22" t="str">
        <f t="shared" si="11"/>
        <v/>
      </c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3"/>
      <c r="U43" s="24"/>
      <c r="V43" s="26"/>
      <c r="W43" s="26"/>
      <c r="X43" s="27" t="str">
        <f t="shared" si="12"/>
        <v/>
      </c>
      <c r="Y43" s="28" t="str">
        <f t="shared" si="13"/>
        <v/>
      </c>
      <c r="Z43" s="26"/>
      <c r="AA43" s="26"/>
      <c r="AB43" s="26"/>
      <c r="AC43" s="27" t="str">
        <f t="shared" si="14"/>
        <v/>
      </c>
      <c r="AD43" s="26"/>
      <c r="AE43" s="25"/>
      <c r="AF43" s="25"/>
      <c r="AG43" s="29"/>
      <c r="AH43" s="25"/>
      <c r="AI43" s="29"/>
      <c r="AJ43" s="25"/>
      <c r="AK43" s="25"/>
      <c r="AL43" s="25"/>
      <c r="AM43" s="23"/>
      <c r="AN43" s="24"/>
      <c r="AO43" s="30" t="str">
        <f t="shared" si="15"/>
        <v/>
      </c>
      <c r="AP43" s="28" t="str">
        <f t="shared" si="16"/>
        <v/>
      </c>
      <c r="AQ43" s="28" t="str">
        <f t="shared" si="17"/>
        <v/>
      </c>
      <c r="AR43" s="28" t="str">
        <f t="shared" si="18"/>
        <v/>
      </c>
      <c r="AS43" s="28" t="str">
        <f t="shared" si="19"/>
        <v/>
      </c>
      <c r="AT43" s="22" t="str">
        <f t="shared" si="20"/>
        <v/>
      </c>
      <c r="AU43" s="31"/>
      <c r="AV43" s="32"/>
      <c r="AW43" s="25"/>
      <c r="AX43" s="21" t="str">
        <f t="shared" si="21"/>
        <v/>
      </c>
      <c r="AY43" s="21" t="str">
        <f>IF(AX43="","",COUNTIF(AX$5:AX43,AX43))</f>
        <v/>
      </c>
    </row>
    <row r="44" spans="1:51" ht="15" customHeight="1" x14ac:dyDescent="0.25">
      <c r="A44" s="33" t="str">
        <f t="shared" si="11"/>
        <v/>
      </c>
      <c r="B44" s="34"/>
      <c r="C44" s="35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4"/>
      <c r="U44" s="35"/>
      <c r="V44" s="37"/>
      <c r="W44" s="37"/>
      <c r="X44" s="38" t="str">
        <f t="shared" si="12"/>
        <v/>
      </c>
      <c r="Y44" s="39" t="str">
        <f t="shared" si="13"/>
        <v/>
      </c>
      <c r="Z44" s="37"/>
      <c r="AA44" s="37"/>
      <c r="AB44" s="37"/>
      <c r="AC44" s="38" t="str">
        <f t="shared" si="14"/>
        <v/>
      </c>
      <c r="AD44" s="37"/>
      <c r="AE44" s="36"/>
      <c r="AF44" s="36"/>
      <c r="AG44" s="40"/>
      <c r="AH44" s="36"/>
      <c r="AI44" s="40"/>
      <c r="AJ44" s="36"/>
      <c r="AK44" s="36"/>
      <c r="AL44" s="36"/>
      <c r="AM44" s="34"/>
      <c r="AN44" s="35"/>
      <c r="AO44" s="41" t="str">
        <f t="shared" si="15"/>
        <v/>
      </c>
      <c r="AP44" s="39" t="str">
        <f t="shared" si="16"/>
        <v/>
      </c>
      <c r="AQ44" s="39" t="str">
        <f t="shared" si="17"/>
        <v/>
      </c>
      <c r="AR44" s="39" t="str">
        <f t="shared" si="18"/>
        <v/>
      </c>
      <c r="AS44" s="39" t="str">
        <f t="shared" si="19"/>
        <v/>
      </c>
      <c r="AT44" s="33" t="str">
        <f t="shared" si="20"/>
        <v/>
      </c>
      <c r="AU44" s="31"/>
      <c r="AV44" s="32"/>
      <c r="AW44" s="36"/>
      <c r="AX44" s="21" t="str">
        <f t="shared" si="21"/>
        <v/>
      </c>
      <c r="AY44" s="21" t="str">
        <f>IF(AX44="","",COUNTIF(AX$5:AX44,AX44))</f>
        <v/>
      </c>
    </row>
    <row r="45" spans="1:51" ht="15" customHeight="1" x14ac:dyDescent="0.25">
      <c r="A45" s="22" t="str">
        <f t="shared" si="11"/>
        <v/>
      </c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3"/>
      <c r="U45" s="24"/>
      <c r="V45" s="26"/>
      <c r="W45" s="26"/>
      <c r="X45" s="27" t="str">
        <f t="shared" si="12"/>
        <v/>
      </c>
      <c r="Y45" s="28" t="str">
        <f t="shared" si="13"/>
        <v/>
      </c>
      <c r="Z45" s="26"/>
      <c r="AA45" s="26"/>
      <c r="AB45" s="26"/>
      <c r="AC45" s="27" t="str">
        <f t="shared" si="14"/>
        <v/>
      </c>
      <c r="AD45" s="26"/>
      <c r="AE45" s="25"/>
      <c r="AF45" s="25"/>
      <c r="AG45" s="29"/>
      <c r="AH45" s="25"/>
      <c r="AI45" s="29"/>
      <c r="AJ45" s="25"/>
      <c r="AK45" s="25"/>
      <c r="AL45" s="25"/>
      <c r="AM45" s="23"/>
      <c r="AN45" s="24"/>
      <c r="AO45" s="30" t="str">
        <f t="shared" si="15"/>
        <v/>
      </c>
      <c r="AP45" s="28" t="str">
        <f t="shared" si="16"/>
        <v/>
      </c>
      <c r="AQ45" s="28" t="str">
        <f t="shared" si="17"/>
        <v/>
      </c>
      <c r="AR45" s="28" t="str">
        <f t="shared" si="18"/>
        <v/>
      </c>
      <c r="AS45" s="28" t="str">
        <f t="shared" si="19"/>
        <v/>
      </c>
      <c r="AT45" s="22" t="str">
        <f t="shared" si="20"/>
        <v/>
      </c>
      <c r="AU45" s="31"/>
      <c r="AV45" s="32"/>
      <c r="AW45" s="25"/>
      <c r="AX45" s="21" t="str">
        <f t="shared" si="21"/>
        <v/>
      </c>
      <c r="AY45" s="21" t="str">
        <f>IF(AX45="","",COUNTIF(AX$5:AX45,AX45))</f>
        <v/>
      </c>
    </row>
    <row r="46" spans="1:51" ht="15" customHeight="1" x14ac:dyDescent="0.25">
      <c r="A46" s="33" t="str">
        <f t="shared" si="11"/>
        <v/>
      </c>
      <c r="B46" s="34"/>
      <c r="C46" s="35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4"/>
      <c r="U46" s="35"/>
      <c r="V46" s="37"/>
      <c r="W46" s="37"/>
      <c r="X46" s="38" t="str">
        <f t="shared" si="12"/>
        <v/>
      </c>
      <c r="Y46" s="39" t="str">
        <f t="shared" si="13"/>
        <v/>
      </c>
      <c r="Z46" s="37"/>
      <c r="AA46" s="37"/>
      <c r="AB46" s="37"/>
      <c r="AC46" s="38" t="str">
        <f t="shared" si="14"/>
        <v/>
      </c>
      <c r="AD46" s="37"/>
      <c r="AE46" s="36"/>
      <c r="AF46" s="36"/>
      <c r="AG46" s="40"/>
      <c r="AH46" s="36"/>
      <c r="AI46" s="40"/>
      <c r="AJ46" s="36"/>
      <c r="AK46" s="36"/>
      <c r="AL46" s="36"/>
      <c r="AM46" s="34"/>
      <c r="AN46" s="35"/>
      <c r="AO46" s="41" t="str">
        <f t="shared" si="15"/>
        <v/>
      </c>
      <c r="AP46" s="39" t="str">
        <f t="shared" si="16"/>
        <v/>
      </c>
      <c r="AQ46" s="39" t="str">
        <f t="shared" si="17"/>
        <v/>
      </c>
      <c r="AR46" s="39" t="str">
        <f t="shared" si="18"/>
        <v/>
      </c>
      <c r="AS46" s="39" t="str">
        <f t="shared" si="19"/>
        <v/>
      </c>
      <c r="AT46" s="33" t="str">
        <f t="shared" si="20"/>
        <v/>
      </c>
      <c r="AU46" s="31"/>
      <c r="AV46" s="32"/>
      <c r="AW46" s="36"/>
      <c r="AX46" s="21" t="str">
        <f t="shared" si="21"/>
        <v/>
      </c>
      <c r="AY46" s="21" t="str">
        <f>IF(AX46="","",COUNTIF(AX$5:AX46,AX46))</f>
        <v/>
      </c>
    </row>
    <row r="47" spans="1:51" ht="15" customHeight="1" x14ac:dyDescent="0.25">
      <c r="A47" s="22" t="str">
        <f t="shared" si="11"/>
        <v/>
      </c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3"/>
      <c r="U47" s="24"/>
      <c r="V47" s="26"/>
      <c r="W47" s="26"/>
      <c r="X47" s="27" t="str">
        <f t="shared" si="12"/>
        <v/>
      </c>
      <c r="Y47" s="28" t="str">
        <f t="shared" si="13"/>
        <v/>
      </c>
      <c r="Z47" s="26"/>
      <c r="AA47" s="26"/>
      <c r="AB47" s="26"/>
      <c r="AC47" s="27" t="str">
        <f t="shared" si="14"/>
        <v/>
      </c>
      <c r="AD47" s="26"/>
      <c r="AE47" s="25"/>
      <c r="AF47" s="25"/>
      <c r="AG47" s="29"/>
      <c r="AH47" s="25"/>
      <c r="AI47" s="29"/>
      <c r="AJ47" s="25"/>
      <c r="AK47" s="25"/>
      <c r="AL47" s="25"/>
      <c r="AM47" s="23"/>
      <c r="AN47" s="24"/>
      <c r="AO47" s="30" t="str">
        <f t="shared" si="15"/>
        <v/>
      </c>
      <c r="AP47" s="28" t="str">
        <f t="shared" si="16"/>
        <v/>
      </c>
      <c r="AQ47" s="28" t="str">
        <f t="shared" si="17"/>
        <v/>
      </c>
      <c r="AR47" s="28" t="str">
        <f t="shared" si="18"/>
        <v/>
      </c>
      <c r="AS47" s="28" t="str">
        <f t="shared" si="19"/>
        <v/>
      </c>
      <c r="AT47" s="22" t="str">
        <f t="shared" si="20"/>
        <v/>
      </c>
      <c r="AU47" s="31"/>
      <c r="AV47" s="32"/>
      <c r="AW47" s="25"/>
      <c r="AX47" s="21" t="str">
        <f t="shared" si="21"/>
        <v/>
      </c>
      <c r="AY47" s="21" t="str">
        <f>IF(AX47="","",COUNTIF(AX$5:AX47,AX47))</f>
        <v/>
      </c>
    </row>
    <row r="48" spans="1:51" ht="15" customHeight="1" x14ac:dyDescent="0.25">
      <c r="A48" s="33" t="str">
        <f t="shared" si="11"/>
        <v/>
      </c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4"/>
      <c r="U48" s="35"/>
      <c r="V48" s="37"/>
      <c r="W48" s="37"/>
      <c r="X48" s="38" t="str">
        <f t="shared" si="12"/>
        <v/>
      </c>
      <c r="Y48" s="39" t="str">
        <f t="shared" si="13"/>
        <v/>
      </c>
      <c r="Z48" s="37"/>
      <c r="AA48" s="37"/>
      <c r="AB48" s="37"/>
      <c r="AC48" s="38" t="str">
        <f t="shared" si="14"/>
        <v/>
      </c>
      <c r="AD48" s="37"/>
      <c r="AE48" s="36"/>
      <c r="AF48" s="36"/>
      <c r="AG48" s="40"/>
      <c r="AH48" s="36"/>
      <c r="AI48" s="40"/>
      <c r="AJ48" s="36"/>
      <c r="AK48" s="36"/>
      <c r="AL48" s="36"/>
      <c r="AM48" s="34"/>
      <c r="AN48" s="35"/>
      <c r="AO48" s="41" t="str">
        <f t="shared" si="15"/>
        <v/>
      </c>
      <c r="AP48" s="39" t="str">
        <f t="shared" si="16"/>
        <v/>
      </c>
      <c r="AQ48" s="39" t="str">
        <f t="shared" si="17"/>
        <v/>
      </c>
      <c r="AR48" s="39" t="str">
        <f t="shared" si="18"/>
        <v/>
      </c>
      <c r="AS48" s="39" t="str">
        <f t="shared" si="19"/>
        <v/>
      </c>
      <c r="AT48" s="33" t="str">
        <f t="shared" si="20"/>
        <v/>
      </c>
      <c r="AU48" s="31"/>
      <c r="AV48" s="32"/>
      <c r="AW48" s="36"/>
      <c r="AX48" s="21" t="str">
        <f t="shared" si="21"/>
        <v/>
      </c>
      <c r="AY48" s="21" t="str">
        <f>IF(AX48="","",COUNTIF(AX$5:AX48,AX48))</f>
        <v/>
      </c>
    </row>
    <row r="49" spans="1:51" ht="15" customHeight="1" x14ac:dyDescent="0.25">
      <c r="A49" s="22" t="str">
        <f t="shared" si="11"/>
        <v/>
      </c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3"/>
      <c r="U49" s="24"/>
      <c r="V49" s="26"/>
      <c r="W49" s="26"/>
      <c r="X49" s="27" t="str">
        <f t="shared" si="12"/>
        <v/>
      </c>
      <c r="Y49" s="28" t="str">
        <f t="shared" si="13"/>
        <v/>
      </c>
      <c r="Z49" s="26"/>
      <c r="AA49" s="26"/>
      <c r="AB49" s="26"/>
      <c r="AC49" s="27" t="str">
        <f t="shared" si="14"/>
        <v/>
      </c>
      <c r="AD49" s="26"/>
      <c r="AE49" s="25"/>
      <c r="AF49" s="25"/>
      <c r="AG49" s="29"/>
      <c r="AH49" s="25"/>
      <c r="AI49" s="29"/>
      <c r="AJ49" s="25"/>
      <c r="AK49" s="25"/>
      <c r="AL49" s="25"/>
      <c r="AM49" s="23"/>
      <c r="AN49" s="24"/>
      <c r="AO49" s="30" t="str">
        <f t="shared" si="15"/>
        <v/>
      </c>
      <c r="AP49" s="28" t="str">
        <f t="shared" si="16"/>
        <v/>
      </c>
      <c r="AQ49" s="28" t="str">
        <f t="shared" si="17"/>
        <v/>
      </c>
      <c r="AR49" s="28" t="str">
        <f t="shared" si="18"/>
        <v/>
      </c>
      <c r="AS49" s="28" t="str">
        <f t="shared" si="19"/>
        <v/>
      </c>
      <c r="AT49" s="22" t="str">
        <f t="shared" si="20"/>
        <v/>
      </c>
      <c r="AU49" s="31"/>
      <c r="AV49" s="32"/>
      <c r="AW49" s="25"/>
      <c r="AX49" s="21" t="str">
        <f t="shared" si="21"/>
        <v/>
      </c>
      <c r="AY49" s="21" t="str">
        <f>IF(AX49="","",COUNTIF(AX$5:AX49,AX49))</f>
        <v/>
      </c>
    </row>
    <row r="50" spans="1:51" ht="15" customHeight="1" x14ac:dyDescent="0.25">
      <c r="A50" s="33" t="str">
        <f t="shared" si="11"/>
        <v/>
      </c>
      <c r="B50" s="34"/>
      <c r="C50" s="35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4"/>
      <c r="U50" s="35"/>
      <c r="V50" s="37"/>
      <c r="W50" s="37"/>
      <c r="X50" s="38" t="str">
        <f t="shared" si="12"/>
        <v/>
      </c>
      <c r="Y50" s="39" t="str">
        <f t="shared" si="13"/>
        <v/>
      </c>
      <c r="Z50" s="37"/>
      <c r="AA50" s="37"/>
      <c r="AB50" s="37"/>
      <c r="AC50" s="38" t="str">
        <f t="shared" si="14"/>
        <v/>
      </c>
      <c r="AD50" s="37"/>
      <c r="AE50" s="36"/>
      <c r="AF50" s="36"/>
      <c r="AG50" s="40"/>
      <c r="AH50" s="36"/>
      <c r="AI50" s="40"/>
      <c r="AJ50" s="36"/>
      <c r="AK50" s="36"/>
      <c r="AL50" s="36"/>
      <c r="AM50" s="34"/>
      <c r="AN50" s="35"/>
      <c r="AO50" s="41" t="str">
        <f t="shared" si="15"/>
        <v/>
      </c>
      <c r="AP50" s="39" t="str">
        <f t="shared" si="16"/>
        <v/>
      </c>
      <c r="AQ50" s="39" t="str">
        <f t="shared" si="17"/>
        <v/>
      </c>
      <c r="AR50" s="39" t="str">
        <f t="shared" si="18"/>
        <v/>
      </c>
      <c r="AS50" s="39" t="str">
        <f t="shared" si="19"/>
        <v/>
      </c>
      <c r="AT50" s="33" t="str">
        <f t="shared" si="20"/>
        <v/>
      </c>
      <c r="AU50" s="31"/>
      <c r="AV50" s="32"/>
      <c r="AW50" s="36"/>
      <c r="AX50" s="21" t="str">
        <f t="shared" si="21"/>
        <v/>
      </c>
      <c r="AY50" s="21" t="str">
        <f>IF(AX50="","",COUNTIF(AX$5:AX50,AX50))</f>
        <v/>
      </c>
    </row>
    <row r="51" spans="1:51" ht="15" customHeight="1" x14ac:dyDescent="0.25">
      <c r="A51" s="22" t="str">
        <f t="shared" si="11"/>
        <v/>
      </c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3"/>
      <c r="U51" s="24"/>
      <c r="V51" s="26"/>
      <c r="W51" s="26"/>
      <c r="X51" s="27" t="str">
        <f t="shared" si="12"/>
        <v/>
      </c>
      <c r="Y51" s="28" t="str">
        <f t="shared" si="13"/>
        <v/>
      </c>
      <c r="Z51" s="26"/>
      <c r="AA51" s="26"/>
      <c r="AB51" s="26"/>
      <c r="AC51" s="27" t="str">
        <f t="shared" si="14"/>
        <v/>
      </c>
      <c r="AD51" s="26"/>
      <c r="AE51" s="25"/>
      <c r="AF51" s="25"/>
      <c r="AG51" s="29"/>
      <c r="AH51" s="25"/>
      <c r="AI51" s="29"/>
      <c r="AJ51" s="25"/>
      <c r="AK51" s="25"/>
      <c r="AL51" s="25"/>
      <c r="AM51" s="23"/>
      <c r="AN51" s="24"/>
      <c r="AO51" s="30" t="str">
        <f t="shared" si="15"/>
        <v/>
      </c>
      <c r="AP51" s="28" t="str">
        <f t="shared" si="16"/>
        <v/>
      </c>
      <c r="AQ51" s="28" t="str">
        <f t="shared" si="17"/>
        <v/>
      </c>
      <c r="AR51" s="28" t="str">
        <f t="shared" si="18"/>
        <v/>
      </c>
      <c r="AS51" s="28" t="str">
        <f t="shared" si="19"/>
        <v/>
      </c>
      <c r="AT51" s="22" t="str">
        <f t="shared" si="20"/>
        <v/>
      </c>
      <c r="AU51" s="31"/>
      <c r="AV51" s="32"/>
      <c r="AW51" s="25"/>
      <c r="AX51" s="21" t="str">
        <f t="shared" si="21"/>
        <v/>
      </c>
      <c r="AY51" s="21" t="str">
        <f>IF(AX51="","",COUNTIF(AX$5:AX51,AX51))</f>
        <v/>
      </c>
    </row>
    <row r="52" spans="1:51" ht="15" customHeight="1" x14ac:dyDescent="0.25">
      <c r="A52" s="33" t="str">
        <f t="shared" si="11"/>
        <v/>
      </c>
      <c r="B52" s="34"/>
      <c r="C52" s="35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4"/>
      <c r="U52" s="35"/>
      <c r="V52" s="37"/>
      <c r="W52" s="37"/>
      <c r="X52" s="38" t="str">
        <f t="shared" si="12"/>
        <v/>
      </c>
      <c r="Y52" s="39" t="str">
        <f t="shared" si="13"/>
        <v/>
      </c>
      <c r="Z52" s="37"/>
      <c r="AA52" s="37"/>
      <c r="AB52" s="37"/>
      <c r="AC52" s="38" t="str">
        <f t="shared" si="14"/>
        <v/>
      </c>
      <c r="AD52" s="37"/>
      <c r="AE52" s="36"/>
      <c r="AF52" s="36"/>
      <c r="AG52" s="40"/>
      <c r="AH52" s="36"/>
      <c r="AI52" s="40"/>
      <c r="AJ52" s="36"/>
      <c r="AK52" s="36"/>
      <c r="AL52" s="36"/>
      <c r="AM52" s="34"/>
      <c r="AN52" s="35"/>
      <c r="AO52" s="41" t="str">
        <f t="shared" si="15"/>
        <v/>
      </c>
      <c r="AP52" s="39" t="str">
        <f t="shared" si="16"/>
        <v/>
      </c>
      <c r="AQ52" s="39" t="str">
        <f t="shared" si="17"/>
        <v/>
      </c>
      <c r="AR52" s="39" t="str">
        <f t="shared" si="18"/>
        <v/>
      </c>
      <c r="AS52" s="39" t="str">
        <f t="shared" si="19"/>
        <v/>
      </c>
      <c r="AT52" s="33" t="str">
        <f t="shared" si="20"/>
        <v/>
      </c>
      <c r="AU52" s="31"/>
      <c r="AV52" s="32"/>
      <c r="AW52" s="36"/>
      <c r="AX52" s="21" t="str">
        <f t="shared" si="21"/>
        <v/>
      </c>
      <c r="AY52" s="21" t="str">
        <f>IF(AX52="","",COUNTIF(AX$5:AX52,AX52))</f>
        <v/>
      </c>
    </row>
    <row r="53" spans="1:51" ht="15" customHeight="1" x14ac:dyDescent="0.25">
      <c r="A53" s="22" t="str">
        <f t="shared" si="11"/>
        <v/>
      </c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3"/>
      <c r="U53" s="24"/>
      <c r="V53" s="26"/>
      <c r="W53" s="26"/>
      <c r="X53" s="27" t="str">
        <f t="shared" si="12"/>
        <v/>
      </c>
      <c r="Y53" s="28" t="str">
        <f t="shared" si="13"/>
        <v/>
      </c>
      <c r="Z53" s="26"/>
      <c r="AA53" s="26"/>
      <c r="AB53" s="26"/>
      <c r="AC53" s="27" t="str">
        <f t="shared" si="14"/>
        <v/>
      </c>
      <c r="AD53" s="26"/>
      <c r="AE53" s="25"/>
      <c r="AF53" s="25"/>
      <c r="AG53" s="29"/>
      <c r="AH53" s="25"/>
      <c r="AI53" s="29"/>
      <c r="AJ53" s="25"/>
      <c r="AK53" s="25"/>
      <c r="AL53" s="25"/>
      <c r="AM53" s="23"/>
      <c r="AN53" s="24"/>
      <c r="AO53" s="30" t="str">
        <f t="shared" si="15"/>
        <v/>
      </c>
      <c r="AP53" s="28" t="str">
        <f t="shared" si="16"/>
        <v/>
      </c>
      <c r="AQ53" s="28" t="str">
        <f t="shared" si="17"/>
        <v/>
      </c>
      <c r="AR53" s="28" t="str">
        <f t="shared" si="18"/>
        <v/>
      </c>
      <c r="AS53" s="28" t="str">
        <f t="shared" si="19"/>
        <v/>
      </c>
      <c r="AT53" s="22" t="str">
        <f t="shared" si="20"/>
        <v/>
      </c>
      <c r="AU53" s="31"/>
      <c r="AV53" s="32"/>
      <c r="AW53" s="25"/>
      <c r="AX53" s="21" t="str">
        <f t="shared" si="21"/>
        <v/>
      </c>
      <c r="AY53" s="21" t="str">
        <f>IF(AX53="","",COUNTIF(AX$5:AX53,AX53))</f>
        <v/>
      </c>
    </row>
    <row r="54" spans="1:51" ht="15" customHeight="1" x14ac:dyDescent="0.25">
      <c r="A54" s="33" t="str">
        <f t="shared" si="11"/>
        <v/>
      </c>
      <c r="B54" s="34"/>
      <c r="C54" s="35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35"/>
      <c r="V54" s="37"/>
      <c r="W54" s="37"/>
      <c r="X54" s="38" t="str">
        <f t="shared" si="12"/>
        <v/>
      </c>
      <c r="Y54" s="39" t="str">
        <f t="shared" si="13"/>
        <v/>
      </c>
      <c r="Z54" s="37"/>
      <c r="AA54" s="37"/>
      <c r="AB54" s="37"/>
      <c r="AC54" s="38" t="str">
        <f t="shared" si="14"/>
        <v/>
      </c>
      <c r="AD54" s="37"/>
      <c r="AE54" s="36"/>
      <c r="AF54" s="36"/>
      <c r="AG54" s="40"/>
      <c r="AH54" s="36"/>
      <c r="AI54" s="40"/>
      <c r="AJ54" s="36"/>
      <c r="AK54" s="36"/>
      <c r="AL54" s="36"/>
      <c r="AM54" s="34"/>
      <c r="AN54" s="35"/>
      <c r="AO54" s="41" t="str">
        <f t="shared" si="15"/>
        <v/>
      </c>
      <c r="AP54" s="39" t="str">
        <f t="shared" si="16"/>
        <v/>
      </c>
      <c r="AQ54" s="39" t="str">
        <f t="shared" si="17"/>
        <v/>
      </c>
      <c r="AR54" s="39" t="str">
        <f t="shared" si="18"/>
        <v/>
      </c>
      <c r="AS54" s="39" t="str">
        <f t="shared" si="19"/>
        <v/>
      </c>
      <c r="AT54" s="33" t="str">
        <f t="shared" si="20"/>
        <v/>
      </c>
      <c r="AU54" s="31"/>
      <c r="AV54" s="32"/>
      <c r="AW54" s="36"/>
      <c r="AX54" s="21" t="str">
        <f t="shared" si="21"/>
        <v/>
      </c>
      <c r="AY54" s="21" t="str">
        <f>IF(AX54="","",COUNTIF(AX$5:AX54,AX54))</f>
        <v/>
      </c>
    </row>
    <row r="55" spans="1:51" ht="15" customHeight="1" x14ac:dyDescent="0.25">
      <c r="A55" s="22" t="str">
        <f t="shared" si="11"/>
        <v/>
      </c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3"/>
      <c r="U55" s="24"/>
      <c r="V55" s="26"/>
      <c r="W55" s="26"/>
      <c r="X55" s="27" t="str">
        <f t="shared" si="12"/>
        <v/>
      </c>
      <c r="Y55" s="28" t="str">
        <f t="shared" si="13"/>
        <v/>
      </c>
      <c r="Z55" s="26"/>
      <c r="AA55" s="26"/>
      <c r="AB55" s="26"/>
      <c r="AC55" s="27" t="str">
        <f t="shared" si="14"/>
        <v/>
      </c>
      <c r="AD55" s="26"/>
      <c r="AE55" s="25"/>
      <c r="AF55" s="25"/>
      <c r="AG55" s="29"/>
      <c r="AH55" s="25"/>
      <c r="AI55" s="29"/>
      <c r="AJ55" s="25"/>
      <c r="AK55" s="25"/>
      <c r="AL55" s="25"/>
      <c r="AM55" s="23"/>
      <c r="AN55" s="24"/>
      <c r="AO55" s="30" t="str">
        <f t="shared" si="15"/>
        <v/>
      </c>
      <c r="AP55" s="28" t="str">
        <f t="shared" si="16"/>
        <v/>
      </c>
      <c r="AQ55" s="28" t="str">
        <f t="shared" si="17"/>
        <v/>
      </c>
      <c r="AR55" s="28" t="str">
        <f t="shared" si="18"/>
        <v/>
      </c>
      <c r="AS55" s="28" t="str">
        <f t="shared" si="19"/>
        <v/>
      </c>
      <c r="AT55" s="22" t="str">
        <f t="shared" si="20"/>
        <v/>
      </c>
      <c r="AU55" s="31"/>
      <c r="AV55" s="32"/>
      <c r="AW55" s="25"/>
      <c r="AX55" s="21" t="str">
        <f t="shared" si="21"/>
        <v/>
      </c>
      <c r="AY55" s="21" t="str">
        <f>IF(AX55="","",COUNTIF(AX$5:AX55,AX55))</f>
        <v/>
      </c>
    </row>
    <row r="56" spans="1:51" ht="15" customHeight="1" x14ac:dyDescent="0.25">
      <c r="A56" s="33" t="str">
        <f t="shared" si="11"/>
        <v/>
      </c>
      <c r="B56" s="34"/>
      <c r="C56" s="35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4"/>
      <c r="U56" s="35"/>
      <c r="V56" s="37"/>
      <c r="W56" s="37"/>
      <c r="X56" s="38" t="str">
        <f t="shared" si="12"/>
        <v/>
      </c>
      <c r="Y56" s="39" t="str">
        <f t="shared" si="13"/>
        <v/>
      </c>
      <c r="Z56" s="37"/>
      <c r="AA56" s="37"/>
      <c r="AB56" s="37"/>
      <c r="AC56" s="38" t="str">
        <f t="shared" si="14"/>
        <v/>
      </c>
      <c r="AD56" s="37"/>
      <c r="AE56" s="36"/>
      <c r="AF56" s="36"/>
      <c r="AG56" s="40"/>
      <c r="AH56" s="36"/>
      <c r="AI56" s="40"/>
      <c r="AJ56" s="36"/>
      <c r="AK56" s="36"/>
      <c r="AL56" s="36"/>
      <c r="AM56" s="34"/>
      <c r="AN56" s="35"/>
      <c r="AO56" s="41" t="str">
        <f t="shared" si="15"/>
        <v/>
      </c>
      <c r="AP56" s="39" t="str">
        <f t="shared" si="16"/>
        <v/>
      </c>
      <c r="AQ56" s="39" t="str">
        <f t="shared" si="17"/>
        <v/>
      </c>
      <c r="AR56" s="39" t="str">
        <f t="shared" si="18"/>
        <v/>
      </c>
      <c r="AS56" s="39" t="str">
        <f t="shared" si="19"/>
        <v/>
      </c>
      <c r="AT56" s="33" t="str">
        <f t="shared" si="20"/>
        <v/>
      </c>
      <c r="AU56" s="31"/>
      <c r="AV56" s="32"/>
      <c r="AW56" s="36"/>
      <c r="AX56" s="21" t="str">
        <f t="shared" si="21"/>
        <v/>
      </c>
      <c r="AY56" s="21" t="str">
        <f>IF(AX56="","",COUNTIF(AX$5:AX56,AX56))</f>
        <v/>
      </c>
    </row>
    <row r="57" spans="1:51" ht="15" customHeight="1" x14ac:dyDescent="0.25">
      <c r="A57" s="22" t="str">
        <f t="shared" si="11"/>
        <v/>
      </c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3"/>
      <c r="U57" s="24"/>
      <c r="V57" s="26"/>
      <c r="W57" s="26"/>
      <c r="X57" s="27" t="str">
        <f t="shared" si="12"/>
        <v/>
      </c>
      <c r="Y57" s="28" t="str">
        <f t="shared" si="13"/>
        <v/>
      </c>
      <c r="Z57" s="26"/>
      <c r="AA57" s="26"/>
      <c r="AB57" s="26"/>
      <c r="AC57" s="27" t="str">
        <f t="shared" si="14"/>
        <v/>
      </c>
      <c r="AD57" s="26"/>
      <c r="AE57" s="25"/>
      <c r="AF57" s="25"/>
      <c r="AG57" s="29"/>
      <c r="AH57" s="25"/>
      <c r="AI57" s="29"/>
      <c r="AJ57" s="25"/>
      <c r="AK57" s="25"/>
      <c r="AL57" s="25"/>
      <c r="AM57" s="23"/>
      <c r="AN57" s="24"/>
      <c r="AO57" s="30" t="str">
        <f t="shared" si="15"/>
        <v/>
      </c>
      <c r="AP57" s="28" t="str">
        <f t="shared" si="16"/>
        <v/>
      </c>
      <c r="AQ57" s="28" t="str">
        <f t="shared" si="17"/>
        <v/>
      </c>
      <c r="AR57" s="28" t="str">
        <f t="shared" si="18"/>
        <v/>
      </c>
      <c r="AS57" s="28" t="str">
        <f t="shared" si="19"/>
        <v/>
      </c>
      <c r="AT57" s="22" t="str">
        <f t="shared" si="20"/>
        <v/>
      </c>
      <c r="AU57" s="31"/>
      <c r="AV57" s="32"/>
      <c r="AW57" s="25"/>
      <c r="AX57" s="21" t="str">
        <f t="shared" si="21"/>
        <v/>
      </c>
      <c r="AY57" s="21" t="str">
        <f>IF(AX57="","",COUNTIF(AX$5:AX57,AX57))</f>
        <v/>
      </c>
    </row>
    <row r="58" spans="1:51" ht="15" customHeight="1" x14ac:dyDescent="0.25">
      <c r="A58" s="33" t="str">
        <f t="shared" si="11"/>
        <v/>
      </c>
      <c r="B58" s="34"/>
      <c r="C58" s="35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4"/>
      <c r="U58" s="35"/>
      <c r="V58" s="37"/>
      <c r="W58" s="37"/>
      <c r="X58" s="38" t="str">
        <f t="shared" si="12"/>
        <v/>
      </c>
      <c r="Y58" s="39" t="str">
        <f t="shared" si="13"/>
        <v/>
      </c>
      <c r="Z58" s="37"/>
      <c r="AA58" s="37"/>
      <c r="AB58" s="37"/>
      <c r="AC58" s="38" t="str">
        <f t="shared" si="14"/>
        <v/>
      </c>
      <c r="AD58" s="37"/>
      <c r="AE58" s="36"/>
      <c r="AF58" s="36"/>
      <c r="AG58" s="40"/>
      <c r="AH58" s="36"/>
      <c r="AI58" s="40"/>
      <c r="AJ58" s="36"/>
      <c r="AK58" s="36"/>
      <c r="AL58" s="36"/>
      <c r="AM58" s="34"/>
      <c r="AN58" s="35"/>
      <c r="AO58" s="41" t="str">
        <f t="shared" si="15"/>
        <v/>
      </c>
      <c r="AP58" s="39" t="str">
        <f t="shared" si="16"/>
        <v/>
      </c>
      <c r="AQ58" s="39" t="str">
        <f t="shared" si="17"/>
        <v/>
      </c>
      <c r="AR58" s="39" t="str">
        <f t="shared" si="18"/>
        <v/>
      </c>
      <c r="AS58" s="39" t="str">
        <f t="shared" si="19"/>
        <v/>
      </c>
      <c r="AT58" s="33" t="str">
        <f t="shared" si="20"/>
        <v/>
      </c>
      <c r="AU58" s="31"/>
      <c r="AV58" s="32"/>
      <c r="AW58" s="36"/>
      <c r="AX58" s="21" t="str">
        <f t="shared" si="21"/>
        <v/>
      </c>
      <c r="AY58" s="21" t="str">
        <f>IF(AX58="","",COUNTIF(AX$5:AX58,AX58))</f>
        <v/>
      </c>
    </row>
    <row r="59" spans="1:51" ht="15" customHeight="1" x14ac:dyDescent="0.25">
      <c r="A59" s="22" t="str">
        <f t="shared" si="11"/>
        <v/>
      </c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3"/>
      <c r="U59" s="24"/>
      <c r="V59" s="26"/>
      <c r="W59" s="26"/>
      <c r="X59" s="27" t="str">
        <f t="shared" si="12"/>
        <v/>
      </c>
      <c r="Y59" s="28" t="str">
        <f t="shared" si="13"/>
        <v/>
      </c>
      <c r="Z59" s="26"/>
      <c r="AA59" s="26"/>
      <c r="AB59" s="26"/>
      <c r="AC59" s="27" t="str">
        <f t="shared" si="14"/>
        <v/>
      </c>
      <c r="AD59" s="26"/>
      <c r="AE59" s="25"/>
      <c r="AF59" s="25"/>
      <c r="AG59" s="29"/>
      <c r="AH59" s="25"/>
      <c r="AI59" s="29"/>
      <c r="AJ59" s="25"/>
      <c r="AK59" s="25"/>
      <c r="AL59" s="25"/>
      <c r="AM59" s="23"/>
      <c r="AN59" s="24"/>
      <c r="AO59" s="30" t="str">
        <f t="shared" si="15"/>
        <v/>
      </c>
      <c r="AP59" s="28" t="str">
        <f t="shared" si="16"/>
        <v/>
      </c>
      <c r="AQ59" s="28" t="str">
        <f t="shared" si="17"/>
        <v/>
      </c>
      <c r="AR59" s="28" t="str">
        <f t="shared" si="18"/>
        <v/>
      </c>
      <c r="AS59" s="28" t="str">
        <f t="shared" si="19"/>
        <v/>
      </c>
      <c r="AT59" s="22" t="str">
        <f t="shared" si="20"/>
        <v/>
      </c>
      <c r="AU59" s="31"/>
      <c r="AV59" s="32"/>
      <c r="AW59" s="25"/>
      <c r="AX59" s="21" t="str">
        <f t="shared" si="21"/>
        <v/>
      </c>
      <c r="AY59" s="21" t="str">
        <f>IF(AX59="","",COUNTIF(AX$5:AX59,AX59))</f>
        <v/>
      </c>
    </row>
    <row r="60" spans="1:51" ht="15" customHeight="1" x14ac:dyDescent="0.25">
      <c r="A60" s="33" t="str">
        <f t="shared" si="11"/>
        <v/>
      </c>
      <c r="B60" s="34"/>
      <c r="C60" s="35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4"/>
      <c r="U60" s="35"/>
      <c r="V60" s="37"/>
      <c r="W60" s="37"/>
      <c r="X60" s="38" t="str">
        <f t="shared" si="12"/>
        <v/>
      </c>
      <c r="Y60" s="39" t="str">
        <f t="shared" si="13"/>
        <v/>
      </c>
      <c r="Z60" s="37"/>
      <c r="AA60" s="37"/>
      <c r="AB60" s="37"/>
      <c r="AC60" s="38" t="str">
        <f t="shared" si="14"/>
        <v/>
      </c>
      <c r="AD60" s="37"/>
      <c r="AE60" s="36"/>
      <c r="AF60" s="36"/>
      <c r="AG60" s="40"/>
      <c r="AH60" s="36"/>
      <c r="AI60" s="40"/>
      <c r="AJ60" s="36"/>
      <c r="AK60" s="36"/>
      <c r="AL60" s="36"/>
      <c r="AM60" s="34"/>
      <c r="AN60" s="35"/>
      <c r="AO60" s="41" t="str">
        <f t="shared" si="15"/>
        <v/>
      </c>
      <c r="AP60" s="39" t="str">
        <f t="shared" si="16"/>
        <v/>
      </c>
      <c r="AQ60" s="39" t="str">
        <f t="shared" si="17"/>
        <v/>
      </c>
      <c r="AR60" s="39" t="str">
        <f t="shared" si="18"/>
        <v/>
      </c>
      <c r="AS60" s="39" t="str">
        <f t="shared" si="19"/>
        <v/>
      </c>
      <c r="AT60" s="33" t="str">
        <f t="shared" si="20"/>
        <v/>
      </c>
      <c r="AU60" s="31"/>
      <c r="AV60" s="32"/>
      <c r="AW60" s="36"/>
      <c r="AX60" s="21" t="str">
        <f t="shared" si="21"/>
        <v/>
      </c>
      <c r="AY60" s="21" t="str">
        <f>IF(AX60="","",COUNTIF(AX$5:AX60,AX60))</f>
        <v/>
      </c>
    </row>
    <row r="61" spans="1:51" ht="15" customHeight="1" x14ac:dyDescent="0.25">
      <c r="A61" s="22" t="str">
        <f t="shared" si="11"/>
        <v/>
      </c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3"/>
      <c r="U61" s="24"/>
      <c r="V61" s="26"/>
      <c r="W61" s="26"/>
      <c r="X61" s="27" t="str">
        <f t="shared" si="12"/>
        <v/>
      </c>
      <c r="Y61" s="28" t="str">
        <f t="shared" si="13"/>
        <v/>
      </c>
      <c r="Z61" s="26"/>
      <c r="AA61" s="26"/>
      <c r="AB61" s="26"/>
      <c r="AC61" s="27" t="str">
        <f t="shared" si="14"/>
        <v/>
      </c>
      <c r="AD61" s="26"/>
      <c r="AE61" s="25"/>
      <c r="AF61" s="25"/>
      <c r="AG61" s="29"/>
      <c r="AH61" s="25"/>
      <c r="AI61" s="29"/>
      <c r="AJ61" s="25"/>
      <c r="AK61" s="25"/>
      <c r="AL61" s="25"/>
      <c r="AM61" s="23"/>
      <c r="AN61" s="24"/>
      <c r="AO61" s="30" t="str">
        <f t="shared" si="15"/>
        <v/>
      </c>
      <c r="AP61" s="28" t="str">
        <f t="shared" si="16"/>
        <v/>
      </c>
      <c r="AQ61" s="28" t="str">
        <f t="shared" si="17"/>
        <v/>
      </c>
      <c r="AR61" s="28" t="str">
        <f t="shared" si="18"/>
        <v/>
      </c>
      <c r="AS61" s="28" t="str">
        <f t="shared" si="19"/>
        <v/>
      </c>
      <c r="AT61" s="22" t="str">
        <f t="shared" si="20"/>
        <v/>
      </c>
      <c r="AU61" s="31"/>
      <c r="AV61" s="32"/>
      <c r="AW61" s="25"/>
      <c r="AX61" s="21" t="str">
        <f t="shared" si="21"/>
        <v/>
      </c>
      <c r="AY61" s="21" t="str">
        <f>IF(AX61="","",COUNTIF(AX$5:AX61,AX61))</f>
        <v/>
      </c>
    </row>
    <row r="62" spans="1:51" ht="15" customHeight="1" x14ac:dyDescent="0.25">
      <c r="A62" s="33" t="str">
        <f t="shared" si="11"/>
        <v/>
      </c>
      <c r="B62" s="34"/>
      <c r="C62" s="35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4"/>
      <c r="U62" s="35"/>
      <c r="V62" s="37"/>
      <c r="W62" s="37"/>
      <c r="X62" s="38" t="str">
        <f t="shared" si="12"/>
        <v/>
      </c>
      <c r="Y62" s="39" t="str">
        <f t="shared" si="13"/>
        <v/>
      </c>
      <c r="Z62" s="37"/>
      <c r="AA62" s="37"/>
      <c r="AB62" s="37"/>
      <c r="AC62" s="38" t="str">
        <f t="shared" si="14"/>
        <v/>
      </c>
      <c r="AD62" s="37"/>
      <c r="AE62" s="36"/>
      <c r="AF62" s="36"/>
      <c r="AG62" s="40"/>
      <c r="AH62" s="36"/>
      <c r="AI62" s="40"/>
      <c r="AJ62" s="36"/>
      <c r="AK62" s="36"/>
      <c r="AL62" s="36"/>
      <c r="AM62" s="34"/>
      <c r="AN62" s="35"/>
      <c r="AO62" s="41" t="str">
        <f t="shared" si="15"/>
        <v/>
      </c>
      <c r="AP62" s="39" t="str">
        <f t="shared" si="16"/>
        <v/>
      </c>
      <c r="AQ62" s="39" t="str">
        <f t="shared" si="17"/>
        <v/>
      </c>
      <c r="AR62" s="39" t="str">
        <f t="shared" si="18"/>
        <v/>
      </c>
      <c r="AS62" s="39" t="str">
        <f t="shared" si="19"/>
        <v/>
      </c>
      <c r="AT62" s="33" t="str">
        <f t="shared" si="20"/>
        <v/>
      </c>
      <c r="AU62" s="31"/>
      <c r="AV62" s="32"/>
      <c r="AW62" s="36"/>
      <c r="AX62" s="21" t="str">
        <f t="shared" si="21"/>
        <v/>
      </c>
      <c r="AY62" s="21" t="str">
        <f>IF(AX62="","",COUNTIF(AX$5:AX62,AX62))</f>
        <v/>
      </c>
    </row>
    <row r="63" spans="1:51" ht="15" customHeight="1" x14ac:dyDescent="0.25">
      <c r="A63" s="22" t="str">
        <f t="shared" si="11"/>
        <v/>
      </c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3"/>
      <c r="U63" s="24"/>
      <c r="V63" s="26"/>
      <c r="W63" s="26"/>
      <c r="X63" s="27" t="str">
        <f t="shared" si="12"/>
        <v/>
      </c>
      <c r="Y63" s="28" t="str">
        <f t="shared" si="13"/>
        <v/>
      </c>
      <c r="Z63" s="26"/>
      <c r="AA63" s="26"/>
      <c r="AB63" s="26"/>
      <c r="AC63" s="27" t="str">
        <f t="shared" si="14"/>
        <v/>
      </c>
      <c r="AD63" s="26"/>
      <c r="AE63" s="25"/>
      <c r="AF63" s="25"/>
      <c r="AG63" s="29"/>
      <c r="AH63" s="25"/>
      <c r="AI63" s="29"/>
      <c r="AJ63" s="25"/>
      <c r="AK63" s="25"/>
      <c r="AL63" s="25"/>
      <c r="AM63" s="23"/>
      <c r="AN63" s="24"/>
      <c r="AO63" s="30" t="str">
        <f t="shared" si="15"/>
        <v/>
      </c>
      <c r="AP63" s="28" t="str">
        <f t="shared" si="16"/>
        <v/>
      </c>
      <c r="AQ63" s="28" t="str">
        <f t="shared" si="17"/>
        <v/>
      </c>
      <c r="AR63" s="28" t="str">
        <f t="shared" si="18"/>
        <v/>
      </c>
      <c r="AS63" s="28" t="str">
        <f t="shared" si="19"/>
        <v/>
      </c>
      <c r="AT63" s="22" t="str">
        <f t="shared" si="20"/>
        <v/>
      </c>
      <c r="AU63" s="31"/>
      <c r="AV63" s="32"/>
      <c r="AW63" s="25"/>
      <c r="AX63" s="21" t="str">
        <f t="shared" si="21"/>
        <v/>
      </c>
      <c r="AY63" s="21" t="str">
        <f>IF(AX63="","",COUNTIF(AX$5:AX63,AX63))</f>
        <v/>
      </c>
    </row>
    <row r="64" spans="1:51" ht="15" customHeight="1" x14ac:dyDescent="0.25">
      <c r="A64" s="33" t="str">
        <f t="shared" si="11"/>
        <v/>
      </c>
      <c r="B64" s="34"/>
      <c r="C64" s="35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4"/>
      <c r="U64" s="35"/>
      <c r="V64" s="37"/>
      <c r="W64" s="37"/>
      <c r="X64" s="38" t="str">
        <f t="shared" si="12"/>
        <v/>
      </c>
      <c r="Y64" s="39" t="str">
        <f t="shared" si="13"/>
        <v/>
      </c>
      <c r="Z64" s="37"/>
      <c r="AA64" s="37"/>
      <c r="AB64" s="37"/>
      <c r="AC64" s="38" t="str">
        <f t="shared" si="14"/>
        <v/>
      </c>
      <c r="AD64" s="37"/>
      <c r="AE64" s="36"/>
      <c r="AF64" s="36"/>
      <c r="AG64" s="40"/>
      <c r="AH64" s="36"/>
      <c r="AI64" s="40"/>
      <c r="AJ64" s="36"/>
      <c r="AK64" s="36"/>
      <c r="AL64" s="36"/>
      <c r="AM64" s="34"/>
      <c r="AN64" s="35"/>
      <c r="AO64" s="41" t="str">
        <f t="shared" si="15"/>
        <v/>
      </c>
      <c r="AP64" s="39" t="str">
        <f t="shared" si="16"/>
        <v/>
      </c>
      <c r="AQ64" s="39" t="str">
        <f t="shared" si="17"/>
        <v/>
      </c>
      <c r="AR64" s="39" t="str">
        <f t="shared" si="18"/>
        <v/>
      </c>
      <c r="AS64" s="39" t="str">
        <f t="shared" si="19"/>
        <v/>
      </c>
      <c r="AT64" s="33" t="str">
        <f t="shared" si="20"/>
        <v/>
      </c>
      <c r="AU64" s="31"/>
      <c r="AV64" s="32"/>
      <c r="AW64" s="36"/>
      <c r="AX64" s="21" t="str">
        <f t="shared" si="21"/>
        <v/>
      </c>
      <c r="AY64" s="21" t="str">
        <f>IF(AX64="","",COUNTIF(AX$5:AX64,AX64))</f>
        <v/>
      </c>
    </row>
    <row r="65" spans="1:51" ht="15" customHeight="1" x14ac:dyDescent="0.25">
      <c r="A65" s="22" t="str">
        <f t="shared" si="11"/>
        <v/>
      </c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3"/>
      <c r="U65" s="24"/>
      <c r="V65" s="26"/>
      <c r="W65" s="26"/>
      <c r="X65" s="27" t="str">
        <f t="shared" si="12"/>
        <v/>
      </c>
      <c r="Y65" s="28" t="str">
        <f t="shared" si="13"/>
        <v/>
      </c>
      <c r="Z65" s="26"/>
      <c r="AA65" s="26"/>
      <c r="AB65" s="26"/>
      <c r="AC65" s="27" t="str">
        <f t="shared" si="14"/>
        <v/>
      </c>
      <c r="AD65" s="26"/>
      <c r="AE65" s="25"/>
      <c r="AF65" s="25"/>
      <c r="AG65" s="29"/>
      <c r="AH65" s="25"/>
      <c r="AI65" s="29"/>
      <c r="AJ65" s="25"/>
      <c r="AK65" s="25"/>
      <c r="AL65" s="25"/>
      <c r="AM65" s="23"/>
      <c r="AN65" s="24"/>
      <c r="AO65" s="30" t="str">
        <f t="shared" si="15"/>
        <v/>
      </c>
      <c r="AP65" s="28" t="str">
        <f t="shared" si="16"/>
        <v/>
      </c>
      <c r="AQ65" s="28" t="str">
        <f t="shared" si="17"/>
        <v/>
      </c>
      <c r="AR65" s="28" t="str">
        <f t="shared" si="18"/>
        <v/>
      </c>
      <c r="AS65" s="28" t="str">
        <f t="shared" si="19"/>
        <v/>
      </c>
      <c r="AT65" s="22" t="str">
        <f t="shared" si="20"/>
        <v/>
      </c>
      <c r="AU65" s="31"/>
      <c r="AV65" s="32"/>
      <c r="AW65" s="25"/>
      <c r="AX65" s="21" t="str">
        <f t="shared" si="21"/>
        <v/>
      </c>
      <c r="AY65" s="21" t="str">
        <f>IF(AX65="","",COUNTIF(AX$5:AX65,AX65))</f>
        <v/>
      </c>
    </row>
    <row r="66" spans="1:51" ht="15" customHeight="1" x14ac:dyDescent="0.25">
      <c r="A66" s="33" t="str">
        <f t="shared" si="11"/>
        <v/>
      </c>
      <c r="B66" s="34"/>
      <c r="C66" s="35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4"/>
      <c r="U66" s="35"/>
      <c r="V66" s="37"/>
      <c r="W66" s="37"/>
      <c r="X66" s="38" t="str">
        <f t="shared" si="12"/>
        <v/>
      </c>
      <c r="Y66" s="39" t="str">
        <f t="shared" si="13"/>
        <v/>
      </c>
      <c r="Z66" s="37"/>
      <c r="AA66" s="37"/>
      <c r="AB66" s="37"/>
      <c r="AC66" s="38" t="str">
        <f t="shared" si="14"/>
        <v/>
      </c>
      <c r="AD66" s="37"/>
      <c r="AE66" s="36"/>
      <c r="AF66" s="36"/>
      <c r="AG66" s="40"/>
      <c r="AH66" s="36"/>
      <c r="AI66" s="40"/>
      <c r="AJ66" s="36"/>
      <c r="AK66" s="36"/>
      <c r="AL66" s="36"/>
      <c r="AM66" s="34"/>
      <c r="AN66" s="35"/>
      <c r="AO66" s="41" t="str">
        <f t="shared" si="15"/>
        <v/>
      </c>
      <c r="AP66" s="39" t="str">
        <f t="shared" si="16"/>
        <v/>
      </c>
      <c r="AQ66" s="39" t="str">
        <f t="shared" si="17"/>
        <v/>
      </c>
      <c r="AR66" s="39" t="str">
        <f t="shared" si="18"/>
        <v/>
      </c>
      <c r="AS66" s="39" t="str">
        <f t="shared" si="19"/>
        <v/>
      </c>
      <c r="AT66" s="33" t="str">
        <f t="shared" si="20"/>
        <v/>
      </c>
      <c r="AU66" s="31"/>
      <c r="AV66" s="32"/>
      <c r="AW66" s="36"/>
      <c r="AX66" s="21" t="str">
        <f t="shared" si="21"/>
        <v/>
      </c>
      <c r="AY66" s="21" t="str">
        <f>IF(AX66="","",COUNTIF(AX$5:AX66,AX66))</f>
        <v/>
      </c>
    </row>
    <row r="67" spans="1:51" ht="15" customHeight="1" x14ac:dyDescent="0.25">
      <c r="A67" s="22" t="str">
        <f t="shared" si="11"/>
        <v/>
      </c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3"/>
      <c r="U67" s="24"/>
      <c r="V67" s="26"/>
      <c r="W67" s="26"/>
      <c r="X67" s="27" t="str">
        <f t="shared" si="12"/>
        <v/>
      </c>
      <c r="Y67" s="28" t="str">
        <f t="shared" si="13"/>
        <v/>
      </c>
      <c r="Z67" s="26"/>
      <c r="AA67" s="26"/>
      <c r="AB67" s="26"/>
      <c r="AC67" s="27" t="str">
        <f t="shared" si="14"/>
        <v/>
      </c>
      <c r="AD67" s="26"/>
      <c r="AE67" s="25"/>
      <c r="AF67" s="25"/>
      <c r="AG67" s="29"/>
      <c r="AH67" s="25"/>
      <c r="AI67" s="29"/>
      <c r="AJ67" s="25"/>
      <c r="AK67" s="25"/>
      <c r="AL67" s="25"/>
      <c r="AM67" s="23"/>
      <c r="AN67" s="24"/>
      <c r="AO67" s="30" t="str">
        <f t="shared" si="15"/>
        <v/>
      </c>
      <c r="AP67" s="28" t="str">
        <f t="shared" si="16"/>
        <v/>
      </c>
      <c r="AQ67" s="28" t="str">
        <f t="shared" si="17"/>
        <v/>
      </c>
      <c r="AR67" s="28" t="str">
        <f t="shared" si="18"/>
        <v/>
      </c>
      <c r="AS67" s="28" t="str">
        <f t="shared" si="19"/>
        <v/>
      </c>
      <c r="AT67" s="22" t="str">
        <f t="shared" si="20"/>
        <v/>
      </c>
      <c r="AU67" s="31"/>
      <c r="AV67" s="32"/>
      <c r="AW67" s="25"/>
      <c r="AX67" s="21" t="str">
        <f t="shared" si="21"/>
        <v/>
      </c>
      <c r="AY67" s="21" t="str">
        <f>IF(AX67="","",COUNTIF(AX$5:AX67,AX67))</f>
        <v/>
      </c>
    </row>
    <row r="68" spans="1:51" ht="15" customHeight="1" x14ac:dyDescent="0.25">
      <c r="A68" s="33" t="str">
        <f t="shared" si="11"/>
        <v/>
      </c>
      <c r="B68" s="34"/>
      <c r="C68" s="35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4"/>
      <c r="U68" s="35"/>
      <c r="V68" s="37"/>
      <c r="W68" s="37"/>
      <c r="X68" s="38" t="str">
        <f t="shared" si="12"/>
        <v/>
      </c>
      <c r="Y68" s="39" t="str">
        <f t="shared" si="13"/>
        <v/>
      </c>
      <c r="Z68" s="37"/>
      <c r="AA68" s="37"/>
      <c r="AB68" s="37"/>
      <c r="AC68" s="38" t="str">
        <f t="shared" si="14"/>
        <v/>
      </c>
      <c r="AD68" s="37"/>
      <c r="AE68" s="36"/>
      <c r="AF68" s="36"/>
      <c r="AG68" s="40"/>
      <c r="AH68" s="36"/>
      <c r="AI68" s="40"/>
      <c r="AJ68" s="36"/>
      <c r="AK68" s="36"/>
      <c r="AL68" s="36"/>
      <c r="AM68" s="34"/>
      <c r="AN68" s="35"/>
      <c r="AO68" s="41" t="str">
        <f t="shared" si="15"/>
        <v/>
      </c>
      <c r="AP68" s="39" t="str">
        <f t="shared" si="16"/>
        <v/>
      </c>
      <c r="AQ68" s="39" t="str">
        <f t="shared" si="17"/>
        <v/>
      </c>
      <c r="AR68" s="39" t="str">
        <f t="shared" si="18"/>
        <v/>
      </c>
      <c r="AS68" s="39" t="str">
        <f t="shared" si="19"/>
        <v/>
      </c>
      <c r="AT68" s="33" t="str">
        <f t="shared" si="20"/>
        <v/>
      </c>
      <c r="AU68" s="31"/>
      <c r="AV68" s="32"/>
      <c r="AW68" s="36"/>
      <c r="AX68" s="21" t="str">
        <f t="shared" si="21"/>
        <v/>
      </c>
      <c r="AY68" s="21" t="str">
        <f>IF(AX68="","",COUNTIF(AX$5:AX68,AX68))</f>
        <v/>
      </c>
    </row>
    <row r="69" spans="1:51" ht="15" customHeight="1" x14ac:dyDescent="0.25">
      <c r="A69" s="22" t="str">
        <f t="shared" ref="A69:A100" si="22">IF(B69&lt;&gt;"","INC-"&amp;TEXT(ROW()-4,"0000"),"")</f>
        <v/>
      </c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3"/>
      <c r="U69" s="24"/>
      <c r="V69" s="26"/>
      <c r="W69" s="26"/>
      <c r="X69" s="27" t="str">
        <f t="shared" ref="X69:X100" si="23">IF(OR(V69&lt;&gt;"",W69&lt;&gt;""),IF(V69="",0,V69)+IF(W69="",0,W69),"")</f>
        <v/>
      </c>
      <c r="Y69" s="28" t="str">
        <f t="shared" ref="Y69:Y100" si="24">IF(X69&lt;&gt;"",X69*0.33,"")</f>
        <v/>
      </c>
      <c r="Z69" s="26"/>
      <c r="AA69" s="26"/>
      <c r="AB69" s="26"/>
      <c r="AC69" s="27" t="str">
        <f t="shared" ref="AC69:AC100" si="25">IF(OR(Z69&lt;&gt;"",AB69&lt;&gt;""),IF(Z69="",0,Z69)+IF(AB69="",0,AB69),"")</f>
        <v/>
      </c>
      <c r="AD69" s="26"/>
      <c r="AE69" s="25"/>
      <c r="AF69" s="25"/>
      <c r="AG69" s="29"/>
      <c r="AH69" s="25"/>
      <c r="AI69" s="29"/>
      <c r="AJ69" s="25"/>
      <c r="AK69" s="25"/>
      <c r="AL69" s="25"/>
      <c r="AM69" s="23"/>
      <c r="AN69" s="24"/>
      <c r="AO69" s="30" t="str">
        <f t="shared" ref="AO69:AO100" si="26">IFERROR(IF(AND(AM69&lt;&gt;"",B69&lt;&gt;""),((AM69+AN69)-(B69+C69))*24,""),"")</f>
        <v/>
      </c>
      <c r="AP69" s="28" t="str">
        <f t="shared" ref="AP69:AP100" si="27">IF(S69="","",IF(S69="Juan Manuel",18.9,IF(S69="Juan Luis",17.5,IF(S69="Raúl",15.8,IF(S69="Adrián",13.5,IF(S69="Paco",13.5,""))))))</f>
        <v/>
      </c>
      <c r="AQ69" s="28" t="str">
        <f t="shared" ref="AQ69:AQ100" si="28">IFERROR(IF(AND(AC69&lt;&gt;"",AP69&lt;&gt;""),(AC69/60)*AP69,""),"")</f>
        <v/>
      </c>
      <c r="AR69" s="28" t="str">
        <f t="shared" ref="AR69:AR100" si="29">IF(Y69&lt;&gt;"",Y69,"")</f>
        <v/>
      </c>
      <c r="AS69" s="28" t="str">
        <f t="shared" ref="AS69:AS100" si="30">IFERROR(IF(OR(AQ69&lt;&gt;"",AG69&lt;&gt;"",AR69&lt;&gt;""),IF(AQ69="",0,AQ69)+IF(AG69="",0,AG69)+IF(AR69="",0,AR69),""),"")</f>
        <v/>
      </c>
      <c r="AT69" s="22" t="str">
        <f t="shared" ref="AT69:AT100" si="31">IF(AS69="","",IF(AS69&gt;150,"⚠️ REVISAR",IF(AS69&gt;80,"⚡ ATENCIÓN","✅ OK")))</f>
        <v/>
      </c>
      <c r="AU69" s="31"/>
      <c r="AV69" s="32"/>
      <c r="AW69" s="25"/>
      <c r="AX69" s="21" t="str">
        <f t="shared" ref="AX69:AX100" si="32">IF(OR(S69="",T69=""),"",S69&amp;TEXT(T69,"YYYYMMDD"))</f>
        <v/>
      </c>
      <c r="AY69" s="21" t="str">
        <f>IF(AX69="","",COUNTIF(AX$5:AX69,AX69))</f>
        <v/>
      </c>
    </row>
    <row r="70" spans="1:51" ht="15" customHeight="1" x14ac:dyDescent="0.25">
      <c r="A70" s="33" t="str">
        <f t="shared" si="22"/>
        <v/>
      </c>
      <c r="B70" s="34"/>
      <c r="C70" s="35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4"/>
      <c r="U70" s="35"/>
      <c r="V70" s="37"/>
      <c r="W70" s="37"/>
      <c r="X70" s="38" t="str">
        <f t="shared" si="23"/>
        <v/>
      </c>
      <c r="Y70" s="39" t="str">
        <f t="shared" si="24"/>
        <v/>
      </c>
      <c r="Z70" s="37"/>
      <c r="AA70" s="37"/>
      <c r="AB70" s="37"/>
      <c r="AC70" s="38" t="str">
        <f t="shared" si="25"/>
        <v/>
      </c>
      <c r="AD70" s="37"/>
      <c r="AE70" s="36"/>
      <c r="AF70" s="36"/>
      <c r="AG70" s="40"/>
      <c r="AH70" s="36"/>
      <c r="AI70" s="40"/>
      <c r="AJ70" s="36"/>
      <c r="AK70" s="36"/>
      <c r="AL70" s="36"/>
      <c r="AM70" s="34"/>
      <c r="AN70" s="35"/>
      <c r="AO70" s="41" t="str">
        <f t="shared" si="26"/>
        <v/>
      </c>
      <c r="AP70" s="39" t="str">
        <f t="shared" si="27"/>
        <v/>
      </c>
      <c r="AQ70" s="39" t="str">
        <f t="shared" si="28"/>
        <v/>
      </c>
      <c r="AR70" s="39" t="str">
        <f t="shared" si="29"/>
        <v/>
      </c>
      <c r="AS70" s="39" t="str">
        <f t="shared" si="30"/>
        <v/>
      </c>
      <c r="AT70" s="33" t="str">
        <f t="shared" si="31"/>
        <v/>
      </c>
      <c r="AU70" s="31"/>
      <c r="AV70" s="32"/>
      <c r="AW70" s="36"/>
      <c r="AX70" s="21" t="str">
        <f t="shared" si="32"/>
        <v/>
      </c>
      <c r="AY70" s="21" t="str">
        <f>IF(AX70="","",COUNTIF(AX$5:AX70,AX70))</f>
        <v/>
      </c>
    </row>
    <row r="71" spans="1:51" ht="15" customHeight="1" x14ac:dyDescent="0.25">
      <c r="A71" s="22" t="str">
        <f t="shared" si="22"/>
        <v/>
      </c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3"/>
      <c r="U71" s="24"/>
      <c r="V71" s="26"/>
      <c r="W71" s="26"/>
      <c r="X71" s="27" t="str">
        <f t="shared" si="23"/>
        <v/>
      </c>
      <c r="Y71" s="28" t="str">
        <f t="shared" si="24"/>
        <v/>
      </c>
      <c r="Z71" s="26"/>
      <c r="AA71" s="26"/>
      <c r="AB71" s="26"/>
      <c r="AC71" s="27" t="str">
        <f t="shared" si="25"/>
        <v/>
      </c>
      <c r="AD71" s="26"/>
      <c r="AE71" s="25"/>
      <c r="AF71" s="25"/>
      <c r="AG71" s="29"/>
      <c r="AH71" s="25"/>
      <c r="AI71" s="29"/>
      <c r="AJ71" s="25"/>
      <c r="AK71" s="25"/>
      <c r="AL71" s="25"/>
      <c r="AM71" s="23"/>
      <c r="AN71" s="24"/>
      <c r="AO71" s="30" t="str">
        <f t="shared" si="26"/>
        <v/>
      </c>
      <c r="AP71" s="28" t="str">
        <f t="shared" si="27"/>
        <v/>
      </c>
      <c r="AQ71" s="28" t="str">
        <f t="shared" si="28"/>
        <v/>
      </c>
      <c r="AR71" s="28" t="str">
        <f t="shared" si="29"/>
        <v/>
      </c>
      <c r="AS71" s="28" t="str">
        <f t="shared" si="30"/>
        <v/>
      </c>
      <c r="AT71" s="22" t="str">
        <f t="shared" si="31"/>
        <v/>
      </c>
      <c r="AU71" s="31"/>
      <c r="AV71" s="32"/>
      <c r="AW71" s="25"/>
      <c r="AX71" s="21" t="str">
        <f t="shared" si="32"/>
        <v/>
      </c>
      <c r="AY71" s="21" t="str">
        <f>IF(AX71="","",COUNTIF(AX$5:AX71,AX71))</f>
        <v/>
      </c>
    </row>
    <row r="72" spans="1:51" ht="15" customHeight="1" x14ac:dyDescent="0.25">
      <c r="A72" s="33" t="str">
        <f t="shared" si="22"/>
        <v/>
      </c>
      <c r="B72" s="34"/>
      <c r="C72" s="35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4"/>
      <c r="U72" s="35"/>
      <c r="V72" s="37"/>
      <c r="W72" s="37"/>
      <c r="X72" s="38" t="str">
        <f t="shared" si="23"/>
        <v/>
      </c>
      <c r="Y72" s="39" t="str">
        <f t="shared" si="24"/>
        <v/>
      </c>
      <c r="Z72" s="37"/>
      <c r="AA72" s="37"/>
      <c r="AB72" s="37"/>
      <c r="AC72" s="38" t="str">
        <f t="shared" si="25"/>
        <v/>
      </c>
      <c r="AD72" s="37"/>
      <c r="AE72" s="36"/>
      <c r="AF72" s="36"/>
      <c r="AG72" s="40"/>
      <c r="AH72" s="36"/>
      <c r="AI72" s="40"/>
      <c r="AJ72" s="36"/>
      <c r="AK72" s="36"/>
      <c r="AL72" s="36"/>
      <c r="AM72" s="34"/>
      <c r="AN72" s="35"/>
      <c r="AO72" s="41" t="str">
        <f t="shared" si="26"/>
        <v/>
      </c>
      <c r="AP72" s="39" t="str">
        <f t="shared" si="27"/>
        <v/>
      </c>
      <c r="AQ72" s="39" t="str">
        <f t="shared" si="28"/>
        <v/>
      </c>
      <c r="AR72" s="39" t="str">
        <f t="shared" si="29"/>
        <v/>
      </c>
      <c r="AS72" s="39" t="str">
        <f t="shared" si="30"/>
        <v/>
      </c>
      <c r="AT72" s="33" t="str">
        <f t="shared" si="31"/>
        <v/>
      </c>
      <c r="AU72" s="31"/>
      <c r="AV72" s="32"/>
      <c r="AW72" s="36"/>
      <c r="AX72" s="21" t="str">
        <f t="shared" si="32"/>
        <v/>
      </c>
      <c r="AY72" s="21" t="str">
        <f>IF(AX72="","",COUNTIF(AX$5:AX72,AX72))</f>
        <v/>
      </c>
    </row>
    <row r="73" spans="1:51" ht="15" customHeight="1" x14ac:dyDescent="0.25">
      <c r="A73" s="22" t="str">
        <f t="shared" si="22"/>
        <v/>
      </c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3"/>
      <c r="U73" s="24"/>
      <c r="V73" s="26"/>
      <c r="W73" s="26"/>
      <c r="X73" s="27" t="str">
        <f t="shared" si="23"/>
        <v/>
      </c>
      <c r="Y73" s="28" t="str">
        <f t="shared" si="24"/>
        <v/>
      </c>
      <c r="Z73" s="26"/>
      <c r="AA73" s="26"/>
      <c r="AB73" s="26"/>
      <c r="AC73" s="27" t="str">
        <f t="shared" si="25"/>
        <v/>
      </c>
      <c r="AD73" s="26"/>
      <c r="AE73" s="25"/>
      <c r="AF73" s="25"/>
      <c r="AG73" s="29"/>
      <c r="AH73" s="25"/>
      <c r="AI73" s="29"/>
      <c r="AJ73" s="25"/>
      <c r="AK73" s="25"/>
      <c r="AL73" s="25"/>
      <c r="AM73" s="23"/>
      <c r="AN73" s="24"/>
      <c r="AO73" s="30" t="str">
        <f t="shared" si="26"/>
        <v/>
      </c>
      <c r="AP73" s="28" t="str">
        <f t="shared" si="27"/>
        <v/>
      </c>
      <c r="AQ73" s="28" t="str">
        <f t="shared" si="28"/>
        <v/>
      </c>
      <c r="AR73" s="28" t="str">
        <f t="shared" si="29"/>
        <v/>
      </c>
      <c r="AS73" s="28" t="str">
        <f t="shared" si="30"/>
        <v/>
      </c>
      <c r="AT73" s="22" t="str">
        <f t="shared" si="31"/>
        <v/>
      </c>
      <c r="AU73" s="31"/>
      <c r="AV73" s="32"/>
      <c r="AW73" s="25"/>
      <c r="AX73" s="21" t="str">
        <f t="shared" si="32"/>
        <v/>
      </c>
      <c r="AY73" s="21" t="str">
        <f>IF(AX73="","",COUNTIF(AX$5:AX73,AX73))</f>
        <v/>
      </c>
    </row>
    <row r="74" spans="1:51" ht="15" customHeight="1" x14ac:dyDescent="0.25">
      <c r="A74" s="33" t="str">
        <f t="shared" si="22"/>
        <v/>
      </c>
      <c r="B74" s="34"/>
      <c r="C74" s="35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4"/>
      <c r="U74" s="35"/>
      <c r="V74" s="37"/>
      <c r="W74" s="37"/>
      <c r="X74" s="38" t="str">
        <f t="shared" si="23"/>
        <v/>
      </c>
      <c r="Y74" s="39" t="str">
        <f t="shared" si="24"/>
        <v/>
      </c>
      <c r="Z74" s="37"/>
      <c r="AA74" s="37"/>
      <c r="AB74" s="37"/>
      <c r="AC74" s="38" t="str">
        <f t="shared" si="25"/>
        <v/>
      </c>
      <c r="AD74" s="37"/>
      <c r="AE74" s="36"/>
      <c r="AF74" s="36"/>
      <c r="AG74" s="40"/>
      <c r="AH74" s="36"/>
      <c r="AI74" s="40"/>
      <c r="AJ74" s="36"/>
      <c r="AK74" s="36"/>
      <c r="AL74" s="36"/>
      <c r="AM74" s="34"/>
      <c r="AN74" s="35"/>
      <c r="AO74" s="41" t="str">
        <f t="shared" si="26"/>
        <v/>
      </c>
      <c r="AP74" s="39" t="str">
        <f t="shared" si="27"/>
        <v/>
      </c>
      <c r="AQ74" s="39" t="str">
        <f t="shared" si="28"/>
        <v/>
      </c>
      <c r="AR74" s="39" t="str">
        <f t="shared" si="29"/>
        <v/>
      </c>
      <c r="AS74" s="39" t="str">
        <f t="shared" si="30"/>
        <v/>
      </c>
      <c r="AT74" s="33" t="str">
        <f t="shared" si="31"/>
        <v/>
      </c>
      <c r="AU74" s="31"/>
      <c r="AV74" s="32"/>
      <c r="AW74" s="36"/>
      <c r="AX74" s="21" t="str">
        <f t="shared" si="32"/>
        <v/>
      </c>
      <c r="AY74" s="21" t="str">
        <f>IF(AX74="","",COUNTIF(AX$5:AX74,AX74))</f>
        <v/>
      </c>
    </row>
    <row r="75" spans="1:51" ht="15" customHeight="1" x14ac:dyDescent="0.25">
      <c r="A75" s="22" t="str">
        <f t="shared" si="22"/>
        <v/>
      </c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3"/>
      <c r="U75" s="24"/>
      <c r="V75" s="26"/>
      <c r="W75" s="26"/>
      <c r="X75" s="27" t="str">
        <f t="shared" si="23"/>
        <v/>
      </c>
      <c r="Y75" s="28" t="str">
        <f t="shared" si="24"/>
        <v/>
      </c>
      <c r="Z75" s="26"/>
      <c r="AA75" s="26"/>
      <c r="AB75" s="26"/>
      <c r="AC75" s="27" t="str">
        <f t="shared" si="25"/>
        <v/>
      </c>
      <c r="AD75" s="26"/>
      <c r="AE75" s="25"/>
      <c r="AF75" s="25"/>
      <c r="AG75" s="29"/>
      <c r="AH75" s="25"/>
      <c r="AI75" s="29"/>
      <c r="AJ75" s="25"/>
      <c r="AK75" s="25"/>
      <c r="AL75" s="25"/>
      <c r="AM75" s="23"/>
      <c r="AN75" s="24"/>
      <c r="AO75" s="30" t="str">
        <f t="shared" si="26"/>
        <v/>
      </c>
      <c r="AP75" s="28" t="str">
        <f t="shared" si="27"/>
        <v/>
      </c>
      <c r="AQ75" s="28" t="str">
        <f t="shared" si="28"/>
        <v/>
      </c>
      <c r="AR75" s="28" t="str">
        <f t="shared" si="29"/>
        <v/>
      </c>
      <c r="AS75" s="28" t="str">
        <f t="shared" si="30"/>
        <v/>
      </c>
      <c r="AT75" s="22" t="str">
        <f t="shared" si="31"/>
        <v/>
      </c>
      <c r="AU75" s="31"/>
      <c r="AV75" s="32"/>
      <c r="AW75" s="25"/>
      <c r="AX75" s="21" t="str">
        <f t="shared" si="32"/>
        <v/>
      </c>
      <c r="AY75" s="21" t="str">
        <f>IF(AX75="","",COUNTIF(AX$5:AX75,AX75))</f>
        <v/>
      </c>
    </row>
    <row r="76" spans="1:51" ht="15" customHeight="1" x14ac:dyDescent="0.25">
      <c r="A76" s="33" t="str">
        <f t="shared" si="22"/>
        <v/>
      </c>
      <c r="B76" s="34"/>
      <c r="C76" s="35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4"/>
      <c r="U76" s="35"/>
      <c r="V76" s="37"/>
      <c r="W76" s="37"/>
      <c r="X76" s="38" t="str">
        <f t="shared" si="23"/>
        <v/>
      </c>
      <c r="Y76" s="39" t="str">
        <f t="shared" si="24"/>
        <v/>
      </c>
      <c r="Z76" s="37"/>
      <c r="AA76" s="37"/>
      <c r="AB76" s="37"/>
      <c r="AC76" s="38" t="str">
        <f t="shared" si="25"/>
        <v/>
      </c>
      <c r="AD76" s="37"/>
      <c r="AE76" s="36"/>
      <c r="AF76" s="36"/>
      <c r="AG76" s="40"/>
      <c r="AH76" s="36"/>
      <c r="AI76" s="40"/>
      <c r="AJ76" s="36"/>
      <c r="AK76" s="36"/>
      <c r="AL76" s="36"/>
      <c r="AM76" s="34"/>
      <c r="AN76" s="35"/>
      <c r="AO76" s="41" t="str">
        <f t="shared" si="26"/>
        <v/>
      </c>
      <c r="AP76" s="39" t="str">
        <f t="shared" si="27"/>
        <v/>
      </c>
      <c r="AQ76" s="39" t="str">
        <f t="shared" si="28"/>
        <v/>
      </c>
      <c r="AR76" s="39" t="str">
        <f t="shared" si="29"/>
        <v/>
      </c>
      <c r="AS76" s="39" t="str">
        <f t="shared" si="30"/>
        <v/>
      </c>
      <c r="AT76" s="33" t="str">
        <f t="shared" si="31"/>
        <v/>
      </c>
      <c r="AU76" s="31"/>
      <c r="AV76" s="32"/>
      <c r="AW76" s="36"/>
      <c r="AX76" s="21" t="str">
        <f t="shared" si="32"/>
        <v/>
      </c>
      <c r="AY76" s="21" t="str">
        <f>IF(AX76="","",COUNTIF(AX$5:AX76,AX76))</f>
        <v/>
      </c>
    </row>
    <row r="77" spans="1:51" ht="15" customHeight="1" x14ac:dyDescent="0.25">
      <c r="A77" s="22" t="str">
        <f t="shared" si="22"/>
        <v/>
      </c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3"/>
      <c r="U77" s="24"/>
      <c r="V77" s="26"/>
      <c r="W77" s="26"/>
      <c r="X77" s="27" t="str">
        <f t="shared" si="23"/>
        <v/>
      </c>
      <c r="Y77" s="28" t="str">
        <f t="shared" si="24"/>
        <v/>
      </c>
      <c r="Z77" s="26"/>
      <c r="AA77" s="26"/>
      <c r="AB77" s="26"/>
      <c r="AC77" s="27" t="str">
        <f t="shared" si="25"/>
        <v/>
      </c>
      <c r="AD77" s="26"/>
      <c r="AE77" s="25"/>
      <c r="AF77" s="25"/>
      <c r="AG77" s="29"/>
      <c r="AH77" s="25"/>
      <c r="AI77" s="29"/>
      <c r="AJ77" s="25"/>
      <c r="AK77" s="25"/>
      <c r="AL77" s="25"/>
      <c r="AM77" s="23"/>
      <c r="AN77" s="24"/>
      <c r="AO77" s="30" t="str">
        <f t="shared" si="26"/>
        <v/>
      </c>
      <c r="AP77" s="28" t="str">
        <f t="shared" si="27"/>
        <v/>
      </c>
      <c r="AQ77" s="28" t="str">
        <f t="shared" si="28"/>
        <v/>
      </c>
      <c r="AR77" s="28" t="str">
        <f t="shared" si="29"/>
        <v/>
      </c>
      <c r="AS77" s="28" t="str">
        <f t="shared" si="30"/>
        <v/>
      </c>
      <c r="AT77" s="22" t="str">
        <f t="shared" si="31"/>
        <v/>
      </c>
      <c r="AU77" s="31"/>
      <c r="AV77" s="32"/>
      <c r="AW77" s="25"/>
      <c r="AX77" s="21" t="str">
        <f t="shared" si="32"/>
        <v/>
      </c>
      <c r="AY77" s="21" t="str">
        <f>IF(AX77="","",COUNTIF(AX$5:AX77,AX77))</f>
        <v/>
      </c>
    </row>
    <row r="78" spans="1:51" ht="15" customHeight="1" x14ac:dyDescent="0.25">
      <c r="A78" s="33" t="str">
        <f t="shared" si="22"/>
        <v/>
      </c>
      <c r="B78" s="34"/>
      <c r="C78" s="35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4"/>
      <c r="U78" s="35"/>
      <c r="V78" s="37"/>
      <c r="W78" s="37"/>
      <c r="X78" s="38" t="str">
        <f t="shared" si="23"/>
        <v/>
      </c>
      <c r="Y78" s="39" t="str">
        <f t="shared" si="24"/>
        <v/>
      </c>
      <c r="Z78" s="37"/>
      <c r="AA78" s="37"/>
      <c r="AB78" s="37"/>
      <c r="AC78" s="38" t="str">
        <f t="shared" si="25"/>
        <v/>
      </c>
      <c r="AD78" s="37"/>
      <c r="AE78" s="36"/>
      <c r="AF78" s="36"/>
      <c r="AG78" s="40"/>
      <c r="AH78" s="36"/>
      <c r="AI78" s="40"/>
      <c r="AJ78" s="36"/>
      <c r="AK78" s="36"/>
      <c r="AL78" s="36"/>
      <c r="AM78" s="34"/>
      <c r="AN78" s="35"/>
      <c r="AO78" s="41" t="str">
        <f t="shared" si="26"/>
        <v/>
      </c>
      <c r="AP78" s="39" t="str">
        <f t="shared" si="27"/>
        <v/>
      </c>
      <c r="AQ78" s="39" t="str">
        <f t="shared" si="28"/>
        <v/>
      </c>
      <c r="AR78" s="39" t="str">
        <f t="shared" si="29"/>
        <v/>
      </c>
      <c r="AS78" s="39" t="str">
        <f t="shared" si="30"/>
        <v/>
      </c>
      <c r="AT78" s="33" t="str">
        <f t="shared" si="31"/>
        <v/>
      </c>
      <c r="AU78" s="31"/>
      <c r="AV78" s="32"/>
      <c r="AW78" s="36"/>
      <c r="AX78" s="21" t="str">
        <f t="shared" si="32"/>
        <v/>
      </c>
      <c r="AY78" s="21" t="str">
        <f>IF(AX78="","",COUNTIF(AX$5:AX78,AX78))</f>
        <v/>
      </c>
    </row>
    <row r="79" spans="1:51" ht="15" customHeight="1" x14ac:dyDescent="0.25">
      <c r="A79" s="22" t="str">
        <f t="shared" si="22"/>
        <v/>
      </c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3"/>
      <c r="U79" s="24"/>
      <c r="V79" s="26"/>
      <c r="W79" s="26"/>
      <c r="X79" s="27" t="str">
        <f t="shared" si="23"/>
        <v/>
      </c>
      <c r="Y79" s="28" t="str">
        <f t="shared" si="24"/>
        <v/>
      </c>
      <c r="Z79" s="26"/>
      <c r="AA79" s="26"/>
      <c r="AB79" s="26"/>
      <c r="AC79" s="27" t="str">
        <f t="shared" si="25"/>
        <v/>
      </c>
      <c r="AD79" s="26"/>
      <c r="AE79" s="25"/>
      <c r="AF79" s="25"/>
      <c r="AG79" s="29"/>
      <c r="AH79" s="25"/>
      <c r="AI79" s="29"/>
      <c r="AJ79" s="25"/>
      <c r="AK79" s="25"/>
      <c r="AL79" s="25"/>
      <c r="AM79" s="23"/>
      <c r="AN79" s="24"/>
      <c r="AO79" s="30" t="str">
        <f t="shared" si="26"/>
        <v/>
      </c>
      <c r="AP79" s="28" t="str">
        <f t="shared" si="27"/>
        <v/>
      </c>
      <c r="AQ79" s="28" t="str">
        <f t="shared" si="28"/>
        <v/>
      </c>
      <c r="AR79" s="28" t="str">
        <f t="shared" si="29"/>
        <v/>
      </c>
      <c r="AS79" s="28" t="str">
        <f t="shared" si="30"/>
        <v/>
      </c>
      <c r="AT79" s="22" t="str">
        <f t="shared" si="31"/>
        <v/>
      </c>
      <c r="AU79" s="31"/>
      <c r="AV79" s="32"/>
      <c r="AW79" s="25"/>
      <c r="AX79" s="21" t="str">
        <f t="shared" si="32"/>
        <v/>
      </c>
      <c r="AY79" s="21" t="str">
        <f>IF(AX79="","",COUNTIF(AX$5:AX79,AX79))</f>
        <v/>
      </c>
    </row>
    <row r="80" spans="1:51" ht="15" customHeight="1" x14ac:dyDescent="0.25">
      <c r="A80" s="33" t="str">
        <f t="shared" si="22"/>
        <v/>
      </c>
      <c r="B80" s="34"/>
      <c r="C80" s="35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35"/>
      <c r="V80" s="37"/>
      <c r="W80" s="37"/>
      <c r="X80" s="38" t="str">
        <f t="shared" si="23"/>
        <v/>
      </c>
      <c r="Y80" s="39" t="str">
        <f t="shared" si="24"/>
        <v/>
      </c>
      <c r="Z80" s="37"/>
      <c r="AA80" s="37"/>
      <c r="AB80" s="37"/>
      <c r="AC80" s="38" t="str">
        <f t="shared" si="25"/>
        <v/>
      </c>
      <c r="AD80" s="37"/>
      <c r="AE80" s="36"/>
      <c r="AF80" s="36"/>
      <c r="AG80" s="40"/>
      <c r="AH80" s="36"/>
      <c r="AI80" s="40"/>
      <c r="AJ80" s="36"/>
      <c r="AK80" s="36"/>
      <c r="AL80" s="36"/>
      <c r="AM80" s="34"/>
      <c r="AN80" s="35"/>
      <c r="AO80" s="41" t="str">
        <f t="shared" si="26"/>
        <v/>
      </c>
      <c r="AP80" s="39" t="str">
        <f t="shared" si="27"/>
        <v/>
      </c>
      <c r="AQ80" s="39" t="str">
        <f t="shared" si="28"/>
        <v/>
      </c>
      <c r="AR80" s="39" t="str">
        <f t="shared" si="29"/>
        <v/>
      </c>
      <c r="AS80" s="39" t="str">
        <f t="shared" si="30"/>
        <v/>
      </c>
      <c r="AT80" s="33" t="str">
        <f t="shared" si="31"/>
        <v/>
      </c>
      <c r="AU80" s="31"/>
      <c r="AV80" s="32"/>
      <c r="AW80" s="36"/>
      <c r="AX80" s="21" t="str">
        <f t="shared" si="32"/>
        <v/>
      </c>
      <c r="AY80" s="21" t="str">
        <f>IF(AX80="","",COUNTIF(AX$5:AX80,AX80))</f>
        <v/>
      </c>
    </row>
    <row r="81" spans="1:51" ht="15" customHeight="1" x14ac:dyDescent="0.25">
      <c r="A81" s="22" t="str">
        <f t="shared" si="22"/>
        <v/>
      </c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3"/>
      <c r="U81" s="24"/>
      <c r="V81" s="26"/>
      <c r="W81" s="26"/>
      <c r="X81" s="27" t="str">
        <f t="shared" si="23"/>
        <v/>
      </c>
      <c r="Y81" s="28" t="str">
        <f t="shared" si="24"/>
        <v/>
      </c>
      <c r="Z81" s="26"/>
      <c r="AA81" s="26"/>
      <c r="AB81" s="26"/>
      <c r="AC81" s="27" t="str">
        <f t="shared" si="25"/>
        <v/>
      </c>
      <c r="AD81" s="26"/>
      <c r="AE81" s="25"/>
      <c r="AF81" s="25"/>
      <c r="AG81" s="29"/>
      <c r="AH81" s="25"/>
      <c r="AI81" s="29"/>
      <c r="AJ81" s="25"/>
      <c r="AK81" s="25"/>
      <c r="AL81" s="25"/>
      <c r="AM81" s="23"/>
      <c r="AN81" s="24"/>
      <c r="AO81" s="30" t="str">
        <f t="shared" si="26"/>
        <v/>
      </c>
      <c r="AP81" s="28" t="str">
        <f t="shared" si="27"/>
        <v/>
      </c>
      <c r="AQ81" s="28" t="str">
        <f t="shared" si="28"/>
        <v/>
      </c>
      <c r="AR81" s="28" t="str">
        <f t="shared" si="29"/>
        <v/>
      </c>
      <c r="AS81" s="28" t="str">
        <f t="shared" si="30"/>
        <v/>
      </c>
      <c r="AT81" s="22" t="str">
        <f t="shared" si="31"/>
        <v/>
      </c>
      <c r="AU81" s="31"/>
      <c r="AV81" s="32"/>
      <c r="AW81" s="25"/>
      <c r="AX81" s="21" t="str">
        <f t="shared" si="32"/>
        <v/>
      </c>
      <c r="AY81" s="21" t="str">
        <f>IF(AX81="","",COUNTIF(AX$5:AX81,AX81))</f>
        <v/>
      </c>
    </row>
    <row r="82" spans="1:51" ht="15" customHeight="1" x14ac:dyDescent="0.25">
      <c r="A82" s="33" t="str">
        <f t="shared" si="22"/>
        <v/>
      </c>
      <c r="B82" s="34"/>
      <c r="C82" s="35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4"/>
      <c r="U82" s="35"/>
      <c r="V82" s="37"/>
      <c r="W82" s="37"/>
      <c r="X82" s="38" t="str">
        <f t="shared" si="23"/>
        <v/>
      </c>
      <c r="Y82" s="39" t="str">
        <f t="shared" si="24"/>
        <v/>
      </c>
      <c r="Z82" s="37"/>
      <c r="AA82" s="37"/>
      <c r="AB82" s="37"/>
      <c r="AC82" s="38" t="str">
        <f t="shared" si="25"/>
        <v/>
      </c>
      <c r="AD82" s="37"/>
      <c r="AE82" s="36"/>
      <c r="AF82" s="36"/>
      <c r="AG82" s="40"/>
      <c r="AH82" s="36"/>
      <c r="AI82" s="40"/>
      <c r="AJ82" s="36"/>
      <c r="AK82" s="36"/>
      <c r="AL82" s="36"/>
      <c r="AM82" s="34"/>
      <c r="AN82" s="35"/>
      <c r="AO82" s="41" t="str">
        <f t="shared" si="26"/>
        <v/>
      </c>
      <c r="AP82" s="39" t="str">
        <f t="shared" si="27"/>
        <v/>
      </c>
      <c r="AQ82" s="39" t="str">
        <f t="shared" si="28"/>
        <v/>
      </c>
      <c r="AR82" s="39" t="str">
        <f t="shared" si="29"/>
        <v/>
      </c>
      <c r="AS82" s="39" t="str">
        <f t="shared" si="30"/>
        <v/>
      </c>
      <c r="AT82" s="33" t="str">
        <f t="shared" si="31"/>
        <v/>
      </c>
      <c r="AU82" s="31"/>
      <c r="AV82" s="32"/>
      <c r="AW82" s="36"/>
      <c r="AX82" s="21" t="str">
        <f t="shared" si="32"/>
        <v/>
      </c>
      <c r="AY82" s="21" t="str">
        <f>IF(AX82="","",COUNTIF(AX$5:AX82,AX82))</f>
        <v/>
      </c>
    </row>
    <row r="83" spans="1:51" ht="15" customHeight="1" x14ac:dyDescent="0.25">
      <c r="A83" s="22" t="str">
        <f t="shared" si="22"/>
        <v/>
      </c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3"/>
      <c r="U83" s="24"/>
      <c r="V83" s="26"/>
      <c r="W83" s="26"/>
      <c r="X83" s="27" t="str">
        <f t="shared" si="23"/>
        <v/>
      </c>
      <c r="Y83" s="28" t="str">
        <f t="shared" si="24"/>
        <v/>
      </c>
      <c r="Z83" s="26"/>
      <c r="AA83" s="26"/>
      <c r="AB83" s="26"/>
      <c r="AC83" s="27" t="str">
        <f t="shared" si="25"/>
        <v/>
      </c>
      <c r="AD83" s="26"/>
      <c r="AE83" s="25"/>
      <c r="AF83" s="25"/>
      <c r="AG83" s="29"/>
      <c r="AH83" s="25"/>
      <c r="AI83" s="29"/>
      <c r="AJ83" s="25"/>
      <c r="AK83" s="25"/>
      <c r="AL83" s="25"/>
      <c r="AM83" s="23"/>
      <c r="AN83" s="24"/>
      <c r="AO83" s="30" t="str">
        <f t="shared" si="26"/>
        <v/>
      </c>
      <c r="AP83" s="28" t="str">
        <f t="shared" si="27"/>
        <v/>
      </c>
      <c r="AQ83" s="28" t="str">
        <f t="shared" si="28"/>
        <v/>
      </c>
      <c r="AR83" s="28" t="str">
        <f t="shared" si="29"/>
        <v/>
      </c>
      <c r="AS83" s="28" t="str">
        <f t="shared" si="30"/>
        <v/>
      </c>
      <c r="AT83" s="22" t="str">
        <f t="shared" si="31"/>
        <v/>
      </c>
      <c r="AU83" s="31"/>
      <c r="AV83" s="32"/>
      <c r="AW83" s="25"/>
      <c r="AX83" s="21" t="str">
        <f t="shared" si="32"/>
        <v/>
      </c>
      <c r="AY83" s="21" t="str">
        <f>IF(AX83="","",COUNTIF(AX$5:AX83,AX83))</f>
        <v/>
      </c>
    </row>
    <row r="84" spans="1:51" ht="15" customHeight="1" x14ac:dyDescent="0.25">
      <c r="A84" s="33" t="str">
        <f t="shared" si="22"/>
        <v/>
      </c>
      <c r="B84" s="34"/>
      <c r="C84" s="35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4"/>
      <c r="U84" s="35"/>
      <c r="V84" s="37"/>
      <c r="W84" s="37"/>
      <c r="X84" s="38" t="str">
        <f t="shared" si="23"/>
        <v/>
      </c>
      <c r="Y84" s="39" t="str">
        <f t="shared" si="24"/>
        <v/>
      </c>
      <c r="Z84" s="37"/>
      <c r="AA84" s="37"/>
      <c r="AB84" s="37"/>
      <c r="AC84" s="38" t="str">
        <f t="shared" si="25"/>
        <v/>
      </c>
      <c r="AD84" s="37"/>
      <c r="AE84" s="36"/>
      <c r="AF84" s="36"/>
      <c r="AG84" s="40"/>
      <c r="AH84" s="36"/>
      <c r="AI84" s="40"/>
      <c r="AJ84" s="36"/>
      <c r="AK84" s="36"/>
      <c r="AL84" s="36"/>
      <c r="AM84" s="34"/>
      <c r="AN84" s="35"/>
      <c r="AO84" s="41" t="str">
        <f t="shared" si="26"/>
        <v/>
      </c>
      <c r="AP84" s="39" t="str">
        <f t="shared" si="27"/>
        <v/>
      </c>
      <c r="AQ84" s="39" t="str">
        <f t="shared" si="28"/>
        <v/>
      </c>
      <c r="AR84" s="39" t="str">
        <f t="shared" si="29"/>
        <v/>
      </c>
      <c r="AS84" s="39" t="str">
        <f t="shared" si="30"/>
        <v/>
      </c>
      <c r="AT84" s="33" t="str">
        <f t="shared" si="31"/>
        <v/>
      </c>
      <c r="AU84" s="31"/>
      <c r="AV84" s="32"/>
      <c r="AW84" s="36"/>
      <c r="AX84" s="21" t="str">
        <f t="shared" si="32"/>
        <v/>
      </c>
      <c r="AY84" s="21" t="str">
        <f>IF(AX84="","",COUNTIF(AX$5:AX84,AX84))</f>
        <v/>
      </c>
    </row>
    <row r="85" spans="1:51" ht="15" customHeight="1" x14ac:dyDescent="0.25">
      <c r="A85" s="22" t="str">
        <f t="shared" si="22"/>
        <v/>
      </c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3"/>
      <c r="U85" s="24"/>
      <c r="V85" s="26"/>
      <c r="W85" s="26"/>
      <c r="X85" s="27" t="str">
        <f t="shared" si="23"/>
        <v/>
      </c>
      <c r="Y85" s="28" t="str">
        <f t="shared" si="24"/>
        <v/>
      </c>
      <c r="Z85" s="26"/>
      <c r="AA85" s="26"/>
      <c r="AB85" s="26"/>
      <c r="AC85" s="27" t="str">
        <f t="shared" si="25"/>
        <v/>
      </c>
      <c r="AD85" s="26"/>
      <c r="AE85" s="25"/>
      <c r="AF85" s="25"/>
      <c r="AG85" s="29"/>
      <c r="AH85" s="25"/>
      <c r="AI85" s="29"/>
      <c r="AJ85" s="25"/>
      <c r="AK85" s="25"/>
      <c r="AL85" s="25"/>
      <c r="AM85" s="23"/>
      <c r="AN85" s="24"/>
      <c r="AO85" s="30" t="str">
        <f t="shared" si="26"/>
        <v/>
      </c>
      <c r="AP85" s="28" t="str">
        <f t="shared" si="27"/>
        <v/>
      </c>
      <c r="AQ85" s="28" t="str">
        <f t="shared" si="28"/>
        <v/>
      </c>
      <c r="AR85" s="28" t="str">
        <f t="shared" si="29"/>
        <v/>
      </c>
      <c r="AS85" s="28" t="str">
        <f t="shared" si="30"/>
        <v/>
      </c>
      <c r="AT85" s="22" t="str">
        <f t="shared" si="31"/>
        <v/>
      </c>
      <c r="AU85" s="31"/>
      <c r="AV85" s="32"/>
      <c r="AW85" s="25"/>
      <c r="AX85" s="21" t="str">
        <f t="shared" si="32"/>
        <v/>
      </c>
      <c r="AY85" s="21" t="str">
        <f>IF(AX85="","",COUNTIF(AX$5:AX85,AX85))</f>
        <v/>
      </c>
    </row>
    <row r="86" spans="1:51" ht="15" customHeight="1" x14ac:dyDescent="0.25">
      <c r="A86" s="33" t="str">
        <f t="shared" si="22"/>
        <v/>
      </c>
      <c r="B86" s="34"/>
      <c r="C86" s="35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4"/>
      <c r="U86" s="35"/>
      <c r="V86" s="37"/>
      <c r="W86" s="37"/>
      <c r="X86" s="38" t="str">
        <f t="shared" si="23"/>
        <v/>
      </c>
      <c r="Y86" s="39" t="str">
        <f t="shared" si="24"/>
        <v/>
      </c>
      <c r="Z86" s="37"/>
      <c r="AA86" s="37"/>
      <c r="AB86" s="37"/>
      <c r="AC86" s="38" t="str">
        <f t="shared" si="25"/>
        <v/>
      </c>
      <c r="AD86" s="37"/>
      <c r="AE86" s="36"/>
      <c r="AF86" s="36"/>
      <c r="AG86" s="40"/>
      <c r="AH86" s="36"/>
      <c r="AI86" s="40"/>
      <c r="AJ86" s="36"/>
      <c r="AK86" s="36"/>
      <c r="AL86" s="36"/>
      <c r="AM86" s="34"/>
      <c r="AN86" s="35"/>
      <c r="AO86" s="41" t="str">
        <f t="shared" si="26"/>
        <v/>
      </c>
      <c r="AP86" s="39" t="str">
        <f t="shared" si="27"/>
        <v/>
      </c>
      <c r="AQ86" s="39" t="str">
        <f t="shared" si="28"/>
        <v/>
      </c>
      <c r="AR86" s="39" t="str">
        <f t="shared" si="29"/>
        <v/>
      </c>
      <c r="AS86" s="39" t="str">
        <f t="shared" si="30"/>
        <v/>
      </c>
      <c r="AT86" s="33" t="str">
        <f t="shared" si="31"/>
        <v/>
      </c>
      <c r="AU86" s="31"/>
      <c r="AV86" s="32"/>
      <c r="AW86" s="36"/>
      <c r="AX86" s="21" t="str">
        <f t="shared" si="32"/>
        <v/>
      </c>
      <c r="AY86" s="21" t="str">
        <f>IF(AX86="","",COUNTIF(AX$5:AX86,AX86))</f>
        <v/>
      </c>
    </row>
    <row r="87" spans="1:51" ht="15" customHeight="1" x14ac:dyDescent="0.25">
      <c r="A87" s="22" t="str">
        <f t="shared" si="22"/>
        <v/>
      </c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3"/>
      <c r="U87" s="24"/>
      <c r="V87" s="26"/>
      <c r="W87" s="26"/>
      <c r="X87" s="27" t="str">
        <f t="shared" si="23"/>
        <v/>
      </c>
      <c r="Y87" s="28" t="str">
        <f t="shared" si="24"/>
        <v/>
      </c>
      <c r="Z87" s="26"/>
      <c r="AA87" s="26"/>
      <c r="AB87" s="26"/>
      <c r="AC87" s="27" t="str">
        <f t="shared" si="25"/>
        <v/>
      </c>
      <c r="AD87" s="26"/>
      <c r="AE87" s="25"/>
      <c r="AF87" s="25"/>
      <c r="AG87" s="29"/>
      <c r="AH87" s="25"/>
      <c r="AI87" s="29"/>
      <c r="AJ87" s="25"/>
      <c r="AK87" s="25"/>
      <c r="AL87" s="25"/>
      <c r="AM87" s="23"/>
      <c r="AN87" s="24"/>
      <c r="AO87" s="30" t="str">
        <f t="shared" si="26"/>
        <v/>
      </c>
      <c r="AP87" s="28" t="str">
        <f t="shared" si="27"/>
        <v/>
      </c>
      <c r="AQ87" s="28" t="str">
        <f t="shared" si="28"/>
        <v/>
      </c>
      <c r="AR87" s="28" t="str">
        <f t="shared" si="29"/>
        <v/>
      </c>
      <c r="AS87" s="28" t="str">
        <f t="shared" si="30"/>
        <v/>
      </c>
      <c r="AT87" s="22" t="str">
        <f t="shared" si="31"/>
        <v/>
      </c>
      <c r="AU87" s="31"/>
      <c r="AV87" s="32"/>
      <c r="AW87" s="25"/>
      <c r="AX87" s="21" t="str">
        <f t="shared" si="32"/>
        <v/>
      </c>
      <c r="AY87" s="21" t="str">
        <f>IF(AX87="","",COUNTIF(AX$5:AX87,AX87))</f>
        <v/>
      </c>
    </row>
    <row r="88" spans="1:51" ht="15" customHeight="1" x14ac:dyDescent="0.25">
      <c r="A88" s="33" t="str">
        <f t="shared" si="22"/>
        <v/>
      </c>
      <c r="B88" s="34"/>
      <c r="C88" s="35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4"/>
      <c r="U88" s="35"/>
      <c r="V88" s="37"/>
      <c r="W88" s="37"/>
      <c r="X88" s="38" t="str">
        <f t="shared" si="23"/>
        <v/>
      </c>
      <c r="Y88" s="39" t="str">
        <f t="shared" si="24"/>
        <v/>
      </c>
      <c r="Z88" s="37"/>
      <c r="AA88" s="37"/>
      <c r="AB88" s="37"/>
      <c r="AC88" s="38" t="str">
        <f t="shared" si="25"/>
        <v/>
      </c>
      <c r="AD88" s="37"/>
      <c r="AE88" s="36"/>
      <c r="AF88" s="36"/>
      <c r="AG88" s="40"/>
      <c r="AH88" s="36"/>
      <c r="AI88" s="40"/>
      <c r="AJ88" s="36"/>
      <c r="AK88" s="36"/>
      <c r="AL88" s="36"/>
      <c r="AM88" s="34"/>
      <c r="AN88" s="35"/>
      <c r="AO88" s="41" t="str">
        <f t="shared" si="26"/>
        <v/>
      </c>
      <c r="AP88" s="39" t="str">
        <f t="shared" si="27"/>
        <v/>
      </c>
      <c r="AQ88" s="39" t="str">
        <f t="shared" si="28"/>
        <v/>
      </c>
      <c r="AR88" s="39" t="str">
        <f t="shared" si="29"/>
        <v/>
      </c>
      <c r="AS88" s="39" t="str">
        <f t="shared" si="30"/>
        <v/>
      </c>
      <c r="AT88" s="33" t="str">
        <f t="shared" si="31"/>
        <v/>
      </c>
      <c r="AU88" s="31"/>
      <c r="AV88" s="32"/>
      <c r="AW88" s="36"/>
      <c r="AX88" s="21" t="str">
        <f t="shared" si="32"/>
        <v/>
      </c>
      <c r="AY88" s="21" t="str">
        <f>IF(AX88="","",COUNTIF(AX$5:AX88,AX88))</f>
        <v/>
      </c>
    </row>
    <row r="89" spans="1:51" ht="15" customHeight="1" x14ac:dyDescent="0.25">
      <c r="A89" s="22" t="str">
        <f t="shared" si="22"/>
        <v/>
      </c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3"/>
      <c r="U89" s="24"/>
      <c r="V89" s="26"/>
      <c r="W89" s="26"/>
      <c r="X89" s="27" t="str">
        <f t="shared" si="23"/>
        <v/>
      </c>
      <c r="Y89" s="28" t="str">
        <f t="shared" si="24"/>
        <v/>
      </c>
      <c r="Z89" s="26"/>
      <c r="AA89" s="26"/>
      <c r="AB89" s="26"/>
      <c r="AC89" s="27" t="str">
        <f t="shared" si="25"/>
        <v/>
      </c>
      <c r="AD89" s="26"/>
      <c r="AE89" s="25"/>
      <c r="AF89" s="25"/>
      <c r="AG89" s="29"/>
      <c r="AH89" s="25"/>
      <c r="AI89" s="29"/>
      <c r="AJ89" s="25"/>
      <c r="AK89" s="25"/>
      <c r="AL89" s="25"/>
      <c r="AM89" s="23"/>
      <c r="AN89" s="24"/>
      <c r="AO89" s="30" t="str">
        <f t="shared" si="26"/>
        <v/>
      </c>
      <c r="AP89" s="28" t="str">
        <f t="shared" si="27"/>
        <v/>
      </c>
      <c r="AQ89" s="28" t="str">
        <f t="shared" si="28"/>
        <v/>
      </c>
      <c r="AR89" s="28" t="str">
        <f t="shared" si="29"/>
        <v/>
      </c>
      <c r="AS89" s="28" t="str">
        <f t="shared" si="30"/>
        <v/>
      </c>
      <c r="AT89" s="22" t="str">
        <f t="shared" si="31"/>
        <v/>
      </c>
      <c r="AU89" s="31"/>
      <c r="AV89" s="32"/>
      <c r="AW89" s="25"/>
      <c r="AX89" s="21" t="str">
        <f t="shared" si="32"/>
        <v/>
      </c>
      <c r="AY89" s="21" t="str">
        <f>IF(AX89="","",COUNTIF(AX$5:AX89,AX89))</f>
        <v/>
      </c>
    </row>
    <row r="90" spans="1:51" ht="15" customHeight="1" x14ac:dyDescent="0.25">
      <c r="A90" s="33" t="str">
        <f t="shared" si="22"/>
        <v/>
      </c>
      <c r="B90" s="34"/>
      <c r="C90" s="35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4"/>
      <c r="U90" s="35"/>
      <c r="V90" s="37"/>
      <c r="W90" s="37"/>
      <c r="X90" s="38" t="str">
        <f t="shared" si="23"/>
        <v/>
      </c>
      <c r="Y90" s="39" t="str">
        <f t="shared" si="24"/>
        <v/>
      </c>
      <c r="Z90" s="37"/>
      <c r="AA90" s="37"/>
      <c r="AB90" s="37"/>
      <c r="AC90" s="38" t="str">
        <f t="shared" si="25"/>
        <v/>
      </c>
      <c r="AD90" s="37"/>
      <c r="AE90" s="36"/>
      <c r="AF90" s="36"/>
      <c r="AG90" s="40"/>
      <c r="AH90" s="36"/>
      <c r="AI90" s="40"/>
      <c r="AJ90" s="36"/>
      <c r="AK90" s="36"/>
      <c r="AL90" s="36"/>
      <c r="AM90" s="34"/>
      <c r="AN90" s="35"/>
      <c r="AO90" s="41" t="str">
        <f t="shared" si="26"/>
        <v/>
      </c>
      <c r="AP90" s="39" t="str">
        <f t="shared" si="27"/>
        <v/>
      </c>
      <c r="AQ90" s="39" t="str">
        <f t="shared" si="28"/>
        <v/>
      </c>
      <c r="AR90" s="39" t="str">
        <f t="shared" si="29"/>
        <v/>
      </c>
      <c r="AS90" s="39" t="str">
        <f t="shared" si="30"/>
        <v/>
      </c>
      <c r="AT90" s="33" t="str">
        <f t="shared" si="31"/>
        <v/>
      </c>
      <c r="AU90" s="31"/>
      <c r="AV90" s="32"/>
      <c r="AW90" s="36"/>
      <c r="AX90" s="21" t="str">
        <f t="shared" si="32"/>
        <v/>
      </c>
      <c r="AY90" s="21" t="str">
        <f>IF(AX90="","",COUNTIF(AX$5:AX90,AX90))</f>
        <v/>
      </c>
    </row>
    <row r="91" spans="1:51" ht="15" customHeight="1" x14ac:dyDescent="0.25">
      <c r="A91" s="22" t="str">
        <f t="shared" si="22"/>
        <v/>
      </c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3"/>
      <c r="U91" s="24"/>
      <c r="V91" s="26"/>
      <c r="W91" s="26"/>
      <c r="X91" s="27" t="str">
        <f t="shared" si="23"/>
        <v/>
      </c>
      <c r="Y91" s="28" t="str">
        <f t="shared" si="24"/>
        <v/>
      </c>
      <c r="Z91" s="26"/>
      <c r="AA91" s="26"/>
      <c r="AB91" s="26"/>
      <c r="AC91" s="27" t="str">
        <f t="shared" si="25"/>
        <v/>
      </c>
      <c r="AD91" s="26"/>
      <c r="AE91" s="25"/>
      <c r="AF91" s="25"/>
      <c r="AG91" s="29"/>
      <c r="AH91" s="25"/>
      <c r="AI91" s="29"/>
      <c r="AJ91" s="25"/>
      <c r="AK91" s="25"/>
      <c r="AL91" s="25"/>
      <c r="AM91" s="23"/>
      <c r="AN91" s="24"/>
      <c r="AO91" s="30" t="str">
        <f t="shared" si="26"/>
        <v/>
      </c>
      <c r="AP91" s="28" t="str">
        <f t="shared" si="27"/>
        <v/>
      </c>
      <c r="AQ91" s="28" t="str">
        <f t="shared" si="28"/>
        <v/>
      </c>
      <c r="AR91" s="28" t="str">
        <f t="shared" si="29"/>
        <v/>
      </c>
      <c r="AS91" s="28" t="str">
        <f t="shared" si="30"/>
        <v/>
      </c>
      <c r="AT91" s="22" t="str">
        <f t="shared" si="31"/>
        <v/>
      </c>
      <c r="AU91" s="31"/>
      <c r="AV91" s="32"/>
      <c r="AW91" s="25"/>
      <c r="AX91" s="21" t="str">
        <f t="shared" si="32"/>
        <v/>
      </c>
      <c r="AY91" s="21" t="str">
        <f>IF(AX91="","",COUNTIF(AX$5:AX91,AX91))</f>
        <v/>
      </c>
    </row>
    <row r="92" spans="1:51" ht="15" customHeight="1" x14ac:dyDescent="0.25">
      <c r="A92" s="33" t="str">
        <f t="shared" si="22"/>
        <v/>
      </c>
      <c r="B92" s="34"/>
      <c r="C92" s="35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4"/>
      <c r="U92" s="35"/>
      <c r="V92" s="37"/>
      <c r="W92" s="37"/>
      <c r="X92" s="38" t="str">
        <f t="shared" si="23"/>
        <v/>
      </c>
      <c r="Y92" s="39" t="str">
        <f t="shared" si="24"/>
        <v/>
      </c>
      <c r="Z92" s="37"/>
      <c r="AA92" s="37"/>
      <c r="AB92" s="37"/>
      <c r="AC92" s="38" t="str">
        <f t="shared" si="25"/>
        <v/>
      </c>
      <c r="AD92" s="37"/>
      <c r="AE92" s="36"/>
      <c r="AF92" s="36"/>
      <c r="AG92" s="40"/>
      <c r="AH92" s="36"/>
      <c r="AI92" s="40"/>
      <c r="AJ92" s="36"/>
      <c r="AK92" s="36"/>
      <c r="AL92" s="36"/>
      <c r="AM92" s="34"/>
      <c r="AN92" s="35"/>
      <c r="AO92" s="41" t="str">
        <f t="shared" si="26"/>
        <v/>
      </c>
      <c r="AP92" s="39" t="str">
        <f t="shared" si="27"/>
        <v/>
      </c>
      <c r="AQ92" s="39" t="str">
        <f t="shared" si="28"/>
        <v/>
      </c>
      <c r="AR92" s="39" t="str">
        <f t="shared" si="29"/>
        <v/>
      </c>
      <c r="AS92" s="39" t="str">
        <f t="shared" si="30"/>
        <v/>
      </c>
      <c r="AT92" s="33" t="str">
        <f t="shared" si="31"/>
        <v/>
      </c>
      <c r="AU92" s="31"/>
      <c r="AV92" s="32"/>
      <c r="AW92" s="36"/>
      <c r="AX92" s="21" t="str">
        <f t="shared" si="32"/>
        <v/>
      </c>
      <c r="AY92" s="21" t="str">
        <f>IF(AX92="","",COUNTIF(AX$5:AX92,AX92))</f>
        <v/>
      </c>
    </row>
    <row r="93" spans="1:51" ht="15" customHeight="1" x14ac:dyDescent="0.25">
      <c r="A93" s="22" t="str">
        <f t="shared" si="22"/>
        <v/>
      </c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3"/>
      <c r="U93" s="24"/>
      <c r="V93" s="26"/>
      <c r="W93" s="26"/>
      <c r="X93" s="27" t="str">
        <f t="shared" si="23"/>
        <v/>
      </c>
      <c r="Y93" s="28" t="str">
        <f t="shared" si="24"/>
        <v/>
      </c>
      <c r="Z93" s="26"/>
      <c r="AA93" s="26"/>
      <c r="AB93" s="26"/>
      <c r="AC93" s="27" t="str">
        <f t="shared" si="25"/>
        <v/>
      </c>
      <c r="AD93" s="26"/>
      <c r="AE93" s="25"/>
      <c r="AF93" s="25"/>
      <c r="AG93" s="29"/>
      <c r="AH93" s="25"/>
      <c r="AI93" s="29"/>
      <c r="AJ93" s="25"/>
      <c r="AK93" s="25"/>
      <c r="AL93" s="25"/>
      <c r="AM93" s="23"/>
      <c r="AN93" s="24"/>
      <c r="AO93" s="30" t="str">
        <f t="shared" si="26"/>
        <v/>
      </c>
      <c r="AP93" s="28" t="str">
        <f t="shared" si="27"/>
        <v/>
      </c>
      <c r="AQ93" s="28" t="str">
        <f t="shared" si="28"/>
        <v/>
      </c>
      <c r="AR93" s="28" t="str">
        <f t="shared" si="29"/>
        <v/>
      </c>
      <c r="AS93" s="28" t="str">
        <f t="shared" si="30"/>
        <v/>
      </c>
      <c r="AT93" s="22" t="str">
        <f t="shared" si="31"/>
        <v/>
      </c>
      <c r="AU93" s="31"/>
      <c r="AV93" s="32"/>
      <c r="AW93" s="25"/>
      <c r="AX93" s="21" t="str">
        <f t="shared" si="32"/>
        <v/>
      </c>
      <c r="AY93" s="21" t="str">
        <f>IF(AX93="","",COUNTIF(AX$5:AX93,AX93))</f>
        <v/>
      </c>
    </row>
    <row r="94" spans="1:51" ht="15" customHeight="1" x14ac:dyDescent="0.25">
      <c r="A94" s="33" t="str">
        <f t="shared" si="22"/>
        <v/>
      </c>
      <c r="B94" s="34"/>
      <c r="C94" s="35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4"/>
      <c r="U94" s="35"/>
      <c r="V94" s="37"/>
      <c r="W94" s="37"/>
      <c r="X94" s="38" t="str">
        <f t="shared" si="23"/>
        <v/>
      </c>
      <c r="Y94" s="39" t="str">
        <f t="shared" si="24"/>
        <v/>
      </c>
      <c r="Z94" s="37"/>
      <c r="AA94" s="37"/>
      <c r="AB94" s="37"/>
      <c r="AC94" s="38" t="str">
        <f t="shared" si="25"/>
        <v/>
      </c>
      <c r="AD94" s="37"/>
      <c r="AE94" s="36"/>
      <c r="AF94" s="36"/>
      <c r="AG94" s="40"/>
      <c r="AH94" s="36"/>
      <c r="AI94" s="40"/>
      <c r="AJ94" s="36"/>
      <c r="AK94" s="36"/>
      <c r="AL94" s="36"/>
      <c r="AM94" s="34"/>
      <c r="AN94" s="35"/>
      <c r="AO94" s="41" t="str">
        <f t="shared" si="26"/>
        <v/>
      </c>
      <c r="AP94" s="39" t="str">
        <f t="shared" si="27"/>
        <v/>
      </c>
      <c r="AQ94" s="39" t="str">
        <f t="shared" si="28"/>
        <v/>
      </c>
      <c r="AR94" s="39" t="str">
        <f t="shared" si="29"/>
        <v/>
      </c>
      <c r="AS94" s="39" t="str">
        <f t="shared" si="30"/>
        <v/>
      </c>
      <c r="AT94" s="33" t="str">
        <f t="shared" si="31"/>
        <v/>
      </c>
      <c r="AU94" s="31"/>
      <c r="AV94" s="32"/>
      <c r="AW94" s="36"/>
      <c r="AX94" s="21" t="str">
        <f t="shared" si="32"/>
        <v/>
      </c>
      <c r="AY94" s="21" t="str">
        <f>IF(AX94="","",COUNTIF(AX$5:AX94,AX94))</f>
        <v/>
      </c>
    </row>
    <row r="95" spans="1:51" ht="15" customHeight="1" x14ac:dyDescent="0.25">
      <c r="A95" s="22" t="str">
        <f t="shared" si="22"/>
        <v/>
      </c>
      <c r="B95" s="23"/>
      <c r="C95" s="24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3"/>
      <c r="U95" s="24"/>
      <c r="V95" s="26"/>
      <c r="W95" s="26"/>
      <c r="X95" s="27" t="str">
        <f t="shared" si="23"/>
        <v/>
      </c>
      <c r="Y95" s="28" t="str">
        <f t="shared" si="24"/>
        <v/>
      </c>
      <c r="Z95" s="26"/>
      <c r="AA95" s="26"/>
      <c r="AB95" s="26"/>
      <c r="AC95" s="27" t="str">
        <f t="shared" si="25"/>
        <v/>
      </c>
      <c r="AD95" s="26"/>
      <c r="AE95" s="25"/>
      <c r="AF95" s="25"/>
      <c r="AG95" s="29"/>
      <c r="AH95" s="25"/>
      <c r="AI95" s="29"/>
      <c r="AJ95" s="25"/>
      <c r="AK95" s="25"/>
      <c r="AL95" s="25"/>
      <c r="AM95" s="23"/>
      <c r="AN95" s="24"/>
      <c r="AO95" s="30" t="str">
        <f t="shared" si="26"/>
        <v/>
      </c>
      <c r="AP95" s="28" t="str">
        <f t="shared" si="27"/>
        <v/>
      </c>
      <c r="AQ95" s="28" t="str">
        <f t="shared" si="28"/>
        <v/>
      </c>
      <c r="AR95" s="28" t="str">
        <f t="shared" si="29"/>
        <v/>
      </c>
      <c r="AS95" s="28" t="str">
        <f t="shared" si="30"/>
        <v/>
      </c>
      <c r="AT95" s="22" t="str">
        <f t="shared" si="31"/>
        <v/>
      </c>
      <c r="AU95" s="31"/>
      <c r="AV95" s="32"/>
      <c r="AW95" s="25"/>
      <c r="AX95" s="21" t="str">
        <f t="shared" si="32"/>
        <v/>
      </c>
      <c r="AY95" s="21" t="str">
        <f>IF(AX95="","",COUNTIF(AX$5:AX95,AX95))</f>
        <v/>
      </c>
    </row>
    <row r="96" spans="1:51" ht="15" customHeight="1" x14ac:dyDescent="0.25">
      <c r="A96" s="33" t="str">
        <f t="shared" si="22"/>
        <v/>
      </c>
      <c r="B96" s="34"/>
      <c r="C96" s="35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4"/>
      <c r="U96" s="35"/>
      <c r="V96" s="37"/>
      <c r="W96" s="37"/>
      <c r="X96" s="38" t="str">
        <f t="shared" si="23"/>
        <v/>
      </c>
      <c r="Y96" s="39" t="str">
        <f t="shared" si="24"/>
        <v/>
      </c>
      <c r="Z96" s="37"/>
      <c r="AA96" s="37"/>
      <c r="AB96" s="37"/>
      <c r="AC96" s="38" t="str">
        <f t="shared" si="25"/>
        <v/>
      </c>
      <c r="AD96" s="37"/>
      <c r="AE96" s="36"/>
      <c r="AF96" s="36"/>
      <c r="AG96" s="40"/>
      <c r="AH96" s="36"/>
      <c r="AI96" s="40"/>
      <c r="AJ96" s="36"/>
      <c r="AK96" s="36"/>
      <c r="AL96" s="36"/>
      <c r="AM96" s="34"/>
      <c r="AN96" s="35"/>
      <c r="AO96" s="41" t="str">
        <f t="shared" si="26"/>
        <v/>
      </c>
      <c r="AP96" s="39" t="str">
        <f t="shared" si="27"/>
        <v/>
      </c>
      <c r="AQ96" s="39" t="str">
        <f t="shared" si="28"/>
        <v/>
      </c>
      <c r="AR96" s="39" t="str">
        <f t="shared" si="29"/>
        <v/>
      </c>
      <c r="AS96" s="39" t="str">
        <f t="shared" si="30"/>
        <v/>
      </c>
      <c r="AT96" s="33" t="str">
        <f t="shared" si="31"/>
        <v/>
      </c>
      <c r="AU96" s="31"/>
      <c r="AV96" s="32"/>
      <c r="AW96" s="36"/>
      <c r="AX96" s="21" t="str">
        <f t="shared" si="32"/>
        <v/>
      </c>
      <c r="AY96" s="21" t="str">
        <f>IF(AX96="","",COUNTIF(AX$5:AX96,AX96))</f>
        <v/>
      </c>
    </row>
    <row r="97" spans="1:51" ht="15" customHeight="1" x14ac:dyDescent="0.25">
      <c r="A97" s="22" t="str">
        <f t="shared" si="22"/>
        <v/>
      </c>
      <c r="B97" s="23"/>
      <c r="C97" s="24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3"/>
      <c r="U97" s="24"/>
      <c r="V97" s="26"/>
      <c r="W97" s="26"/>
      <c r="X97" s="27" t="str">
        <f t="shared" si="23"/>
        <v/>
      </c>
      <c r="Y97" s="28" t="str">
        <f t="shared" si="24"/>
        <v/>
      </c>
      <c r="Z97" s="26"/>
      <c r="AA97" s="26"/>
      <c r="AB97" s="26"/>
      <c r="AC97" s="27" t="str">
        <f t="shared" si="25"/>
        <v/>
      </c>
      <c r="AD97" s="26"/>
      <c r="AE97" s="25"/>
      <c r="AF97" s="25"/>
      <c r="AG97" s="29"/>
      <c r="AH97" s="25"/>
      <c r="AI97" s="29"/>
      <c r="AJ97" s="25"/>
      <c r="AK97" s="25"/>
      <c r="AL97" s="25"/>
      <c r="AM97" s="23"/>
      <c r="AN97" s="24"/>
      <c r="AO97" s="30" t="str">
        <f t="shared" si="26"/>
        <v/>
      </c>
      <c r="AP97" s="28" t="str">
        <f t="shared" si="27"/>
        <v/>
      </c>
      <c r="AQ97" s="28" t="str">
        <f t="shared" si="28"/>
        <v/>
      </c>
      <c r="AR97" s="28" t="str">
        <f t="shared" si="29"/>
        <v/>
      </c>
      <c r="AS97" s="28" t="str">
        <f t="shared" si="30"/>
        <v/>
      </c>
      <c r="AT97" s="22" t="str">
        <f t="shared" si="31"/>
        <v/>
      </c>
      <c r="AU97" s="31"/>
      <c r="AV97" s="32"/>
      <c r="AW97" s="25"/>
      <c r="AX97" s="21" t="str">
        <f t="shared" si="32"/>
        <v/>
      </c>
      <c r="AY97" s="21" t="str">
        <f>IF(AX97="","",COUNTIF(AX$5:AX97,AX97))</f>
        <v/>
      </c>
    </row>
    <row r="98" spans="1:51" ht="15" customHeight="1" x14ac:dyDescent="0.25">
      <c r="A98" s="33" t="str">
        <f t="shared" si="22"/>
        <v/>
      </c>
      <c r="B98" s="34"/>
      <c r="C98" s="35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4"/>
      <c r="U98" s="35"/>
      <c r="V98" s="37"/>
      <c r="W98" s="37"/>
      <c r="X98" s="38" t="str">
        <f t="shared" si="23"/>
        <v/>
      </c>
      <c r="Y98" s="39" t="str">
        <f t="shared" si="24"/>
        <v/>
      </c>
      <c r="Z98" s="37"/>
      <c r="AA98" s="37"/>
      <c r="AB98" s="37"/>
      <c r="AC98" s="38" t="str">
        <f t="shared" si="25"/>
        <v/>
      </c>
      <c r="AD98" s="37"/>
      <c r="AE98" s="36"/>
      <c r="AF98" s="36"/>
      <c r="AG98" s="40"/>
      <c r="AH98" s="36"/>
      <c r="AI98" s="40"/>
      <c r="AJ98" s="36"/>
      <c r="AK98" s="36"/>
      <c r="AL98" s="36"/>
      <c r="AM98" s="34"/>
      <c r="AN98" s="35"/>
      <c r="AO98" s="41" t="str">
        <f t="shared" si="26"/>
        <v/>
      </c>
      <c r="AP98" s="39" t="str">
        <f t="shared" si="27"/>
        <v/>
      </c>
      <c r="AQ98" s="39" t="str">
        <f t="shared" si="28"/>
        <v/>
      </c>
      <c r="AR98" s="39" t="str">
        <f t="shared" si="29"/>
        <v/>
      </c>
      <c r="AS98" s="39" t="str">
        <f t="shared" si="30"/>
        <v/>
      </c>
      <c r="AT98" s="33" t="str">
        <f t="shared" si="31"/>
        <v/>
      </c>
      <c r="AU98" s="31"/>
      <c r="AV98" s="32"/>
      <c r="AW98" s="36"/>
      <c r="AX98" s="21" t="str">
        <f t="shared" si="32"/>
        <v/>
      </c>
      <c r="AY98" s="21" t="str">
        <f>IF(AX98="","",COUNTIF(AX$5:AX98,AX98))</f>
        <v/>
      </c>
    </row>
    <row r="99" spans="1:51" ht="15" customHeight="1" x14ac:dyDescent="0.25">
      <c r="A99" s="22" t="str">
        <f t="shared" si="22"/>
        <v/>
      </c>
      <c r="B99" s="23"/>
      <c r="C99" s="24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3"/>
      <c r="U99" s="24"/>
      <c r="V99" s="26"/>
      <c r="W99" s="26"/>
      <c r="X99" s="27" t="str">
        <f t="shared" si="23"/>
        <v/>
      </c>
      <c r="Y99" s="28" t="str">
        <f t="shared" si="24"/>
        <v/>
      </c>
      <c r="Z99" s="26"/>
      <c r="AA99" s="26"/>
      <c r="AB99" s="26"/>
      <c r="AC99" s="27" t="str">
        <f t="shared" si="25"/>
        <v/>
      </c>
      <c r="AD99" s="26"/>
      <c r="AE99" s="25"/>
      <c r="AF99" s="25"/>
      <c r="AG99" s="29"/>
      <c r="AH99" s="25"/>
      <c r="AI99" s="29"/>
      <c r="AJ99" s="25"/>
      <c r="AK99" s="25"/>
      <c r="AL99" s="25"/>
      <c r="AM99" s="23"/>
      <c r="AN99" s="24"/>
      <c r="AO99" s="30" t="str">
        <f t="shared" si="26"/>
        <v/>
      </c>
      <c r="AP99" s="28" t="str">
        <f t="shared" si="27"/>
        <v/>
      </c>
      <c r="AQ99" s="28" t="str">
        <f t="shared" si="28"/>
        <v/>
      </c>
      <c r="AR99" s="28" t="str">
        <f t="shared" si="29"/>
        <v/>
      </c>
      <c r="AS99" s="28" t="str">
        <f t="shared" si="30"/>
        <v/>
      </c>
      <c r="AT99" s="22" t="str">
        <f t="shared" si="31"/>
        <v/>
      </c>
      <c r="AU99" s="31"/>
      <c r="AV99" s="32"/>
      <c r="AW99" s="25"/>
      <c r="AX99" s="21" t="str">
        <f t="shared" si="32"/>
        <v/>
      </c>
      <c r="AY99" s="21" t="str">
        <f>IF(AX99="","",COUNTIF(AX$5:AX99,AX99))</f>
        <v/>
      </c>
    </row>
    <row r="100" spans="1:51" ht="15" customHeight="1" x14ac:dyDescent="0.25">
      <c r="A100" s="33" t="str">
        <f t="shared" si="22"/>
        <v/>
      </c>
      <c r="B100" s="34"/>
      <c r="C100" s="35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4"/>
      <c r="U100" s="35"/>
      <c r="V100" s="37"/>
      <c r="W100" s="37"/>
      <c r="X100" s="38" t="str">
        <f t="shared" si="23"/>
        <v/>
      </c>
      <c r="Y100" s="39" t="str">
        <f t="shared" si="24"/>
        <v/>
      </c>
      <c r="Z100" s="37"/>
      <c r="AA100" s="37"/>
      <c r="AB100" s="37"/>
      <c r="AC100" s="38" t="str">
        <f t="shared" si="25"/>
        <v/>
      </c>
      <c r="AD100" s="37"/>
      <c r="AE100" s="36"/>
      <c r="AF100" s="36"/>
      <c r="AG100" s="40"/>
      <c r="AH100" s="36"/>
      <c r="AI100" s="40"/>
      <c r="AJ100" s="36"/>
      <c r="AK100" s="36"/>
      <c r="AL100" s="36"/>
      <c r="AM100" s="34"/>
      <c r="AN100" s="35"/>
      <c r="AO100" s="41" t="str">
        <f t="shared" si="26"/>
        <v/>
      </c>
      <c r="AP100" s="39" t="str">
        <f t="shared" si="27"/>
        <v/>
      </c>
      <c r="AQ100" s="39" t="str">
        <f t="shared" si="28"/>
        <v/>
      </c>
      <c r="AR100" s="39" t="str">
        <f t="shared" si="29"/>
        <v/>
      </c>
      <c r="AS100" s="39" t="str">
        <f t="shared" si="30"/>
        <v/>
      </c>
      <c r="AT100" s="33" t="str">
        <f t="shared" si="31"/>
        <v/>
      </c>
      <c r="AU100" s="31"/>
      <c r="AV100" s="32"/>
      <c r="AW100" s="36"/>
      <c r="AX100" s="21" t="str">
        <f t="shared" si="32"/>
        <v/>
      </c>
      <c r="AY100" s="21" t="str">
        <f>IF(AX100="","",COUNTIF(AX$5:AX100,AX100))</f>
        <v/>
      </c>
    </row>
    <row r="101" spans="1:51" ht="15" customHeight="1" x14ac:dyDescent="0.25">
      <c r="A101" s="22" t="str">
        <f t="shared" ref="A101:A132" si="33">IF(B101&lt;&gt;"","INC-"&amp;TEXT(ROW()-4,"0000"),"")</f>
        <v/>
      </c>
      <c r="B101" s="23"/>
      <c r="C101" s="24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3"/>
      <c r="U101" s="24"/>
      <c r="V101" s="26"/>
      <c r="W101" s="26"/>
      <c r="X101" s="27" t="str">
        <f t="shared" ref="X101:X132" si="34">IF(OR(V101&lt;&gt;"",W101&lt;&gt;""),IF(V101="",0,V101)+IF(W101="",0,W101),"")</f>
        <v/>
      </c>
      <c r="Y101" s="28" t="str">
        <f t="shared" ref="Y101:Y132" si="35">IF(X101&lt;&gt;"",X101*0.33,"")</f>
        <v/>
      </c>
      <c r="Z101" s="26"/>
      <c r="AA101" s="26"/>
      <c r="AB101" s="26"/>
      <c r="AC101" s="27" t="str">
        <f t="shared" ref="AC101:AC132" si="36">IF(OR(Z101&lt;&gt;"",AB101&lt;&gt;""),IF(Z101="",0,Z101)+IF(AB101="",0,AB101),"")</f>
        <v/>
      </c>
      <c r="AD101" s="26"/>
      <c r="AE101" s="25"/>
      <c r="AF101" s="25"/>
      <c r="AG101" s="29"/>
      <c r="AH101" s="25"/>
      <c r="AI101" s="29"/>
      <c r="AJ101" s="25"/>
      <c r="AK101" s="25"/>
      <c r="AL101" s="25"/>
      <c r="AM101" s="23"/>
      <c r="AN101" s="24"/>
      <c r="AO101" s="30" t="str">
        <f t="shared" ref="AO101:AO132" si="37">IFERROR(IF(AND(AM101&lt;&gt;"",B101&lt;&gt;""),((AM101+AN101)-(B101+C101))*24,""),"")</f>
        <v/>
      </c>
      <c r="AP101" s="28" t="str">
        <f t="shared" ref="AP101:AP132" si="38">IF(S101="","",IF(S101="Juan Manuel",18.9,IF(S101="Juan Luis",17.5,IF(S101="Raúl",15.8,IF(S101="Adrián",13.5,IF(S101="Paco",13.5,""))))))</f>
        <v/>
      </c>
      <c r="AQ101" s="28" t="str">
        <f t="shared" ref="AQ101:AQ132" si="39">IFERROR(IF(AND(AC101&lt;&gt;"",AP101&lt;&gt;""),(AC101/60)*AP101,""),"")</f>
        <v/>
      </c>
      <c r="AR101" s="28" t="str">
        <f t="shared" ref="AR101:AR132" si="40">IF(Y101&lt;&gt;"",Y101,"")</f>
        <v/>
      </c>
      <c r="AS101" s="28" t="str">
        <f t="shared" ref="AS101:AS132" si="41">IFERROR(IF(OR(AQ101&lt;&gt;"",AG101&lt;&gt;"",AR101&lt;&gt;""),IF(AQ101="",0,AQ101)+IF(AG101="",0,AG101)+IF(AR101="",0,AR101),""),"")</f>
        <v/>
      </c>
      <c r="AT101" s="22" t="str">
        <f t="shared" ref="AT101:AT132" si="42">IF(AS101="","",IF(AS101&gt;150,"⚠️ REVISAR",IF(AS101&gt;80,"⚡ ATENCIÓN","✅ OK")))</f>
        <v/>
      </c>
      <c r="AU101" s="31"/>
      <c r="AV101" s="32"/>
      <c r="AW101" s="25"/>
      <c r="AX101" s="21" t="str">
        <f t="shared" ref="AX101:AX132" si="43">IF(OR(S101="",T101=""),"",S101&amp;TEXT(T101,"YYYYMMDD"))</f>
        <v/>
      </c>
      <c r="AY101" s="21" t="str">
        <f>IF(AX101="","",COUNTIF(AX$5:AX101,AX101))</f>
        <v/>
      </c>
    </row>
    <row r="102" spans="1:51" ht="15" customHeight="1" x14ac:dyDescent="0.25">
      <c r="A102" s="33" t="str">
        <f t="shared" si="33"/>
        <v/>
      </c>
      <c r="B102" s="34"/>
      <c r="C102" s="35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4"/>
      <c r="U102" s="35"/>
      <c r="V102" s="37"/>
      <c r="W102" s="37"/>
      <c r="X102" s="38" t="str">
        <f t="shared" si="34"/>
        <v/>
      </c>
      <c r="Y102" s="39" t="str">
        <f t="shared" si="35"/>
        <v/>
      </c>
      <c r="Z102" s="37"/>
      <c r="AA102" s="37"/>
      <c r="AB102" s="37"/>
      <c r="AC102" s="38" t="str">
        <f t="shared" si="36"/>
        <v/>
      </c>
      <c r="AD102" s="37"/>
      <c r="AE102" s="36"/>
      <c r="AF102" s="36"/>
      <c r="AG102" s="40"/>
      <c r="AH102" s="36"/>
      <c r="AI102" s="40"/>
      <c r="AJ102" s="36"/>
      <c r="AK102" s="36"/>
      <c r="AL102" s="36"/>
      <c r="AM102" s="34"/>
      <c r="AN102" s="35"/>
      <c r="AO102" s="41" t="str">
        <f t="shared" si="37"/>
        <v/>
      </c>
      <c r="AP102" s="39" t="str">
        <f t="shared" si="38"/>
        <v/>
      </c>
      <c r="AQ102" s="39" t="str">
        <f t="shared" si="39"/>
        <v/>
      </c>
      <c r="AR102" s="39" t="str">
        <f t="shared" si="40"/>
        <v/>
      </c>
      <c r="AS102" s="39" t="str">
        <f t="shared" si="41"/>
        <v/>
      </c>
      <c r="AT102" s="33" t="str">
        <f t="shared" si="42"/>
        <v/>
      </c>
      <c r="AU102" s="31"/>
      <c r="AV102" s="32"/>
      <c r="AW102" s="36"/>
      <c r="AX102" s="21" t="str">
        <f t="shared" si="43"/>
        <v/>
      </c>
      <c r="AY102" s="21" t="str">
        <f>IF(AX102="","",COUNTIF(AX$5:AX102,AX102))</f>
        <v/>
      </c>
    </row>
    <row r="103" spans="1:51" ht="15" customHeight="1" x14ac:dyDescent="0.25">
      <c r="A103" s="22" t="str">
        <f t="shared" si="33"/>
        <v/>
      </c>
      <c r="B103" s="23"/>
      <c r="C103" s="24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3"/>
      <c r="U103" s="24"/>
      <c r="V103" s="26"/>
      <c r="W103" s="26"/>
      <c r="X103" s="27" t="str">
        <f t="shared" si="34"/>
        <v/>
      </c>
      <c r="Y103" s="28" t="str">
        <f t="shared" si="35"/>
        <v/>
      </c>
      <c r="Z103" s="26"/>
      <c r="AA103" s="26"/>
      <c r="AB103" s="26"/>
      <c r="AC103" s="27" t="str">
        <f t="shared" si="36"/>
        <v/>
      </c>
      <c r="AD103" s="26"/>
      <c r="AE103" s="25"/>
      <c r="AF103" s="25"/>
      <c r="AG103" s="29"/>
      <c r="AH103" s="25"/>
      <c r="AI103" s="29"/>
      <c r="AJ103" s="25"/>
      <c r="AK103" s="25"/>
      <c r="AL103" s="25"/>
      <c r="AM103" s="23"/>
      <c r="AN103" s="24"/>
      <c r="AO103" s="30" t="str">
        <f t="shared" si="37"/>
        <v/>
      </c>
      <c r="AP103" s="28" t="str">
        <f t="shared" si="38"/>
        <v/>
      </c>
      <c r="AQ103" s="28" t="str">
        <f t="shared" si="39"/>
        <v/>
      </c>
      <c r="AR103" s="28" t="str">
        <f t="shared" si="40"/>
        <v/>
      </c>
      <c r="AS103" s="28" t="str">
        <f t="shared" si="41"/>
        <v/>
      </c>
      <c r="AT103" s="22" t="str">
        <f t="shared" si="42"/>
        <v/>
      </c>
      <c r="AU103" s="31"/>
      <c r="AV103" s="32"/>
      <c r="AW103" s="25"/>
      <c r="AX103" s="21" t="str">
        <f t="shared" si="43"/>
        <v/>
      </c>
      <c r="AY103" s="21" t="str">
        <f>IF(AX103="","",COUNTIF(AX$5:AX103,AX103))</f>
        <v/>
      </c>
    </row>
    <row r="104" spans="1:51" ht="15" customHeight="1" x14ac:dyDescent="0.25">
      <c r="A104" s="33" t="str">
        <f t="shared" si="33"/>
        <v/>
      </c>
      <c r="B104" s="34"/>
      <c r="C104" s="35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4"/>
      <c r="U104" s="35"/>
      <c r="V104" s="37"/>
      <c r="W104" s="37"/>
      <c r="X104" s="38" t="str">
        <f t="shared" si="34"/>
        <v/>
      </c>
      <c r="Y104" s="39" t="str">
        <f t="shared" si="35"/>
        <v/>
      </c>
      <c r="Z104" s="37"/>
      <c r="AA104" s="37"/>
      <c r="AB104" s="37"/>
      <c r="AC104" s="38" t="str">
        <f t="shared" si="36"/>
        <v/>
      </c>
      <c r="AD104" s="37"/>
      <c r="AE104" s="36"/>
      <c r="AF104" s="36"/>
      <c r="AG104" s="40"/>
      <c r="AH104" s="36"/>
      <c r="AI104" s="40"/>
      <c r="AJ104" s="36"/>
      <c r="AK104" s="36"/>
      <c r="AL104" s="36"/>
      <c r="AM104" s="34"/>
      <c r="AN104" s="35"/>
      <c r="AO104" s="41" t="str">
        <f t="shared" si="37"/>
        <v/>
      </c>
      <c r="AP104" s="39" t="str">
        <f t="shared" si="38"/>
        <v/>
      </c>
      <c r="AQ104" s="39" t="str">
        <f t="shared" si="39"/>
        <v/>
      </c>
      <c r="AR104" s="39" t="str">
        <f t="shared" si="40"/>
        <v/>
      </c>
      <c r="AS104" s="39" t="str">
        <f t="shared" si="41"/>
        <v/>
      </c>
      <c r="AT104" s="33" t="str">
        <f t="shared" si="42"/>
        <v/>
      </c>
      <c r="AU104" s="31"/>
      <c r="AV104" s="32"/>
      <c r="AW104" s="36"/>
      <c r="AX104" s="21" t="str">
        <f t="shared" si="43"/>
        <v/>
      </c>
      <c r="AY104" s="21" t="str">
        <f>IF(AX104="","",COUNTIF(AX$5:AX104,AX104))</f>
        <v/>
      </c>
    </row>
    <row r="105" spans="1:51" ht="15" customHeight="1" x14ac:dyDescent="0.25">
      <c r="A105" s="22" t="str">
        <f t="shared" si="33"/>
        <v/>
      </c>
      <c r="B105" s="23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3"/>
      <c r="U105" s="24"/>
      <c r="V105" s="26"/>
      <c r="W105" s="26"/>
      <c r="X105" s="27" t="str">
        <f t="shared" si="34"/>
        <v/>
      </c>
      <c r="Y105" s="28" t="str">
        <f t="shared" si="35"/>
        <v/>
      </c>
      <c r="Z105" s="26"/>
      <c r="AA105" s="26"/>
      <c r="AB105" s="26"/>
      <c r="AC105" s="27" t="str">
        <f t="shared" si="36"/>
        <v/>
      </c>
      <c r="AD105" s="26"/>
      <c r="AE105" s="25"/>
      <c r="AF105" s="25"/>
      <c r="AG105" s="29"/>
      <c r="AH105" s="25"/>
      <c r="AI105" s="29"/>
      <c r="AJ105" s="25"/>
      <c r="AK105" s="25"/>
      <c r="AL105" s="25"/>
      <c r="AM105" s="23"/>
      <c r="AN105" s="24"/>
      <c r="AO105" s="30" t="str">
        <f t="shared" si="37"/>
        <v/>
      </c>
      <c r="AP105" s="28" t="str">
        <f t="shared" si="38"/>
        <v/>
      </c>
      <c r="AQ105" s="28" t="str">
        <f t="shared" si="39"/>
        <v/>
      </c>
      <c r="AR105" s="28" t="str">
        <f t="shared" si="40"/>
        <v/>
      </c>
      <c r="AS105" s="28" t="str">
        <f t="shared" si="41"/>
        <v/>
      </c>
      <c r="AT105" s="22" t="str">
        <f t="shared" si="42"/>
        <v/>
      </c>
      <c r="AU105" s="31"/>
      <c r="AV105" s="32"/>
      <c r="AW105" s="25"/>
      <c r="AX105" s="21" t="str">
        <f t="shared" si="43"/>
        <v/>
      </c>
      <c r="AY105" s="21" t="str">
        <f>IF(AX105="","",COUNTIF(AX$5:AX105,AX105))</f>
        <v/>
      </c>
    </row>
    <row r="106" spans="1:51" ht="15" customHeight="1" x14ac:dyDescent="0.25">
      <c r="A106" s="33" t="str">
        <f t="shared" si="33"/>
        <v/>
      </c>
      <c r="B106" s="34"/>
      <c r="C106" s="35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35"/>
      <c r="V106" s="37"/>
      <c r="W106" s="37"/>
      <c r="X106" s="38" t="str">
        <f t="shared" si="34"/>
        <v/>
      </c>
      <c r="Y106" s="39" t="str">
        <f t="shared" si="35"/>
        <v/>
      </c>
      <c r="Z106" s="37"/>
      <c r="AA106" s="37"/>
      <c r="AB106" s="37"/>
      <c r="AC106" s="38" t="str">
        <f t="shared" si="36"/>
        <v/>
      </c>
      <c r="AD106" s="37"/>
      <c r="AE106" s="36"/>
      <c r="AF106" s="36"/>
      <c r="AG106" s="40"/>
      <c r="AH106" s="36"/>
      <c r="AI106" s="40"/>
      <c r="AJ106" s="36"/>
      <c r="AK106" s="36"/>
      <c r="AL106" s="36"/>
      <c r="AM106" s="34"/>
      <c r="AN106" s="35"/>
      <c r="AO106" s="41" t="str">
        <f t="shared" si="37"/>
        <v/>
      </c>
      <c r="AP106" s="39" t="str">
        <f t="shared" si="38"/>
        <v/>
      </c>
      <c r="AQ106" s="39" t="str">
        <f t="shared" si="39"/>
        <v/>
      </c>
      <c r="AR106" s="39" t="str">
        <f t="shared" si="40"/>
        <v/>
      </c>
      <c r="AS106" s="39" t="str">
        <f t="shared" si="41"/>
        <v/>
      </c>
      <c r="AT106" s="33" t="str">
        <f t="shared" si="42"/>
        <v/>
      </c>
      <c r="AU106" s="31"/>
      <c r="AV106" s="32"/>
      <c r="AW106" s="36"/>
      <c r="AX106" s="21" t="str">
        <f t="shared" si="43"/>
        <v/>
      </c>
      <c r="AY106" s="21" t="str">
        <f>IF(AX106="","",COUNTIF(AX$5:AX106,AX106))</f>
        <v/>
      </c>
    </row>
    <row r="107" spans="1:51" ht="15" customHeight="1" x14ac:dyDescent="0.25">
      <c r="A107" s="22" t="str">
        <f t="shared" si="33"/>
        <v/>
      </c>
      <c r="B107" s="23"/>
      <c r="C107" s="24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3"/>
      <c r="U107" s="24"/>
      <c r="V107" s="26"/>
      <c r="W107" s="26"/>
      <c r="X107" s="27" t="str">
        <f t="shared" si="34"/>
        <v/>
      </c>
      <c r="Y107" s="28" t="str">
        <f t="shared" si="35"/>
        <v/>
      </c>
      <c r="Z107" s="26"/>
      <c r="AA107" s="26"/>
      <c r="AB107" s="26"/>
      <c r="AC107" s="27" t="str">
        <f t="shared" si="36"/>
        <v/>
      </c>
      <c r="AD107" s="26"/>
      <c r="AE107" s="25"/>
      <c r="AF107" s="25"/>
      <c r="AG107" s="29"/>
      <c r="AH107" s="25"/>
      <c r="AI107" s="29"/>
      <c r="AJ107" s="25"/>
      <c r="AK107" s="25"/>
      <c r="AL107" s="25"/>
      <c r="AM107" s="23"/>
      <c r="AN107" s="24"/>
      <c r="AO107" s="30" t="str">
        <f t="shared" si="37"/>
        <v/>
      </c>
      <c r="AP107" s="28" t="str">
        <f t="shared" si="38"/>
        <v/>
      </c>
      <c r="AQ107" s="28" t="str">
        <f t="shared" si="39"/>
        <v/>
      </c>
      <c r="AR107" s="28" t="str">
        <f t="shared" si="40"/>
        <v/>
      </c>
      <c r="AS107" s="28" t="str">
        <f t="shared" si="41"/>
        <v/>
      </c>
      <c r="AT107" s="22" t="str">
        <f t="shared" si="42"/>
        <v/>
      </c>
      <c r="AU107" s="31"/>
      <c r="AV107" s="32"/>
      <c r="AW107" s="25"/>
      <c r="AX107" s="21" t="str">
        <f t="shared" si="43"/>
        <v/>
      </c>
      <c r="AY107" s="21" t="str">
        <f>IF(AX107="","",COUNTIF(AX$5:AX107,AX107))</f>
        <v/>
      </c>
    </row>
    <row r="108" spans="1:51" ht="15" customHeight="1" x14ac:dyDescent="0.25">
      <c r="A108" s="33" t="str">
        <f t="shared" si="33"/>
        <v/>
      </c>
      <c r="B108" s="34"/>
      <c r="C108" s="35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4"/>
      <c r="U108" s="35"/>
      <c r="V108" s="37"/>
      <c r="W108" s="37"/>
      <c r="X108" s="38" t="str">
        <f t="shared" si="34"/>
        <v/>
      </c>
      <c r="Y108" s="39" t="str">
        <f t="shared" si="35"/>
        <v/>
      </c>
      <c r="Z108" s="37"/>
      <c r="AA108" s="37"/>
      <c r="AB108" s="37"/>
      <c r="AC108" s="38" t="str">
        <f t="shared" si="36"/>
        <v/>
      </c>
      <c r="AD108" s="37"/>
      <c r="AE108" s="36"/>
      <c r="AF108" s="36"/>
      <c r="AG108" s="40"/>
      <c r="AH108" s="36"/>
      <c r="AI108" s="40"/>
      <c r="AJ108" s="36"/>
      <c r="AK108" s="36"/>
      <c r="AL108" s="36"/>
      <c r="AM108" s="34"/>
      <c r="AN108" s="35"/>
      <c r="AO108" s="41" t="str">
        <f t="shared" si="37"/>
        <v/>
      </c>
      <c r="AP108" s="39" t="str">
        <f t="shared" si="38"/>
        <v/>
      </c>
      <c r="AQ108" s="39" t="str">
        <f t="shared" si="39"/>
        <v/>
      </c>
      <c r="AR108" s="39" t="str">
        <f t="shared" si="40"/>
        <v/>
      </c>
      <c r="AS108" s="39" t="str">
        <f t="shared" si="41"/>
        <v/>
      </c>
      <c r="AT108" s="33" t="str">
        <f t="shared" si="42"/>
        <v/>
      </c>
      <c r="AU108" s="31"/>
      <c r="AV108" s="32"/>
      <c r="AW108" s="36"/>
      <c r="AX108" s="21" t="str">
        <f t="shared" si="43"/>
        <v/>
      </c>
      <c r="AY108" s="21" t="str">
        <f>IF(AX108="","",COUNTIF(AX$5:AX108,AX108))</f>
        <v/>
      </c>
    </row>
    <row r="109" spans="1:51" ht="15" customHeight="1" x14ac:dyDescent="0.25">
      <c r="A109" s="22" t="str">
        <f t="shared" si="33"/>
        <v/>
      </c>
      <c r="B109" s="23"/>
      <c r="C109" s="24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3"/>
      <c r="U109" s="24"/>
      <c r="V109" s="26"/>
      <c r="W109" s="26"/>
      <c r="X109" s="27" t="str">
        <f t="shared" si="34"/>
        <v/>
      </c>
      <c r="Y109" s="28" t="str">
        <f t="shared" si="35"/>
        <v/>
      </c>
      <c r="Z109" s="26"/>
      <c r="AA109" s="26"/>
      <c r="AB109" s="26"/>
      <c r="AC109" s="27" t="str">
        <f t="shared" si="36"/>
        <v/>
      </c>
      <c r="AD109" s="26"/>
      <c r="AE109" s="25"/>
      <c r="AF109" s="25"/>
      <c r="AG109" s="29"/>
      <c r="AH109" s="25"/>
      <c r="AI109" s="29"/>
      <c r="AJ109" s="25"/>
      <c r="AK109" s="25"/>
      <c r="AL109" s="25"/>
      <c r="AM109" s="23"/>
      <c r="AN109" s="24"/>
      <c r="AO109" s="30" t="str">
        <f t="shared" si="37"/>
        <v/>
      </c>
      <c r="AP109" s="28" t="str">
        <f t="shared" si="38"/>
        <v/>
      </c>
      <c r="AQ109" s="28" t="str">
        <f t="shared" si="39"/>
        <v/>
      </c>
      <c r="AR109" s="28" t="str">
        <f t="shared" si="40"/>
        <v/>
      </c>
      <c r="AS109" s="28" t="str">
        <f t="shared" si="41"/>
        <v/>
      </c>
      <c r="AT109" s="22" t="str">
        <f t="shared" si="42"/>
        <v/>
      </c>
      <c r="AU109" s="31"/>
      <c r="AV109" s="32"/>
      <c r="AW109" s="25"/>
      <c r="AX109" s="21" t="str">
        <f t="shared" si="43"/>
        <v/>
      </c>
      <c r="AY109" s="21" t="str">
        <f>IF(AX109="","",COUNTIF(AX$5:AX109,AX109))</f>
        <v/>
      </c>
    </row>
    <row r="110" spans="1:51" ht="15" customHeight="1" x14ac:dyDescent="0.25">
      <c r="A110" s="33" t="str">
        <f t="shared" si="33"/>
        <v/>
      </c>
      <c r="B110" s="34"/>
      <c r="C110" s="35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4"/>
      <c r="U110" s="35"/>
      <c r="V110" s="37"/>
      <c r="W110" s="37"/>
      <c r="X110" s="38" t="str">
        <f t="shared" si="34"/>
        <v/>
      </c>
      <c r="Y110" s="39" t="str">
        <f t="shared" si="35"/>
        <v/>
      </c>
      <c r="Z110" s="37"/>
      <c r="AA110" s="37"/>
      <c r="AB110" s="37"/>
      <c r="AC110" s="38" t="str">
        <f t="shared" si="36"/>
        <v/>
      </c>
      <c r="AD110" s="37"/>
      <c r="AE110" s="36"/>
      <c r="AF110" s="36"/>
      <c r="AG110" s="40"/>
      <c r="AH110" s="36"/>
      <c r="AI110" s="40"/>
      <c r="AJ110" s="36"/>
      <c r="AK110" s="36"/>
      <c r="AL110" s="36"/>
      <c r="AM110" s="34"/>
      <c r="AN110" s="35"/>
      <c r="AO110" s="41" t="str">
        <f t="shared" si="37"/>
        <v/>
      </c>
      <c r="AP110" s="39" t="str">
        <f t="shared" si="38"/>
        <v/>
      </c>
      <c r="AQ110" s="39" t="str">
        <f t="shared" si="39"/>
        <v/>
      </c>
      <c r="AR110" s="39" t="str">
        <f t="shared" si="40"/>
        <v/>
      </c>
      <c r="AS110" s="39" t="str">
        <f t="shared" si="41"/>
        <v/>
      </c>
      <c r="AT110" s="33" t="str">
        <f t="shared" si="42"/>
        <v/>
      </c>
      <c r="AU110" s="31"/>
      <c r="AV110" s="32"/>
      <c r="AW110" s="36"/>
      <c r="AX110" s="21" t="str">
        <f t="shared" si="43"/>
        <v/>
      </c>
      <c r="AY110" s="21" t="str">
        <f>IF(AX110="","",COUNTIF(AX$5:AX110,AX110))</f>
        <v/>
      </c>
    </row>
    <row r="111" spans="1:51" ht="15" customHeight="1" x14ac:dyDescent="0.25">
      <c r="A111" s="22" t="str">
        <f t="shared" si="33"/>
        <v/>
      </c>
      <c r="B111" s="23"/>
      <c r="C111" s="24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3"/>
      <c r="U111" s="24"/>
      <c r="V111" s="26"/>
      <c r="W111" s="26"/>
      <c r="X111" s="27" t="str">
        <f t="shared" si="34"/>
        <v/>
      </c>
      <c r="Y111" s="28" t="str">
        <f t="shared" si="35"/>
        <v/>
      </c>
      <c r="Z111" s="26"/>
      <c r="AA111" s="26"/>
      <c r="AB111" s="26"/>
      <c r="AC111" s="27" t="str">
        <f t="shared" si="36"/>
        <v/>
      </c>
      <c r="AD111" s="26"/>
      <c r="AE111" s="25"/>
      <c r="AF111" s="25"/>
      <c r="AG111" s="29"/>
      <c r="AH111" s="25"/>
      <c r="AI111" s="29"/>
      <c r="AJ111" s="25"/>
      <c r="AK111" s="25"/>
      <c r="AL111" s="25"/>
      <c r="AM111" s="23"/>
      <c r="AN111" s="24"/>
      <c r="AO111" s="30" t="str">
        <f t="shared" si="37"/>
        <v/>
      </c>
      <c r="AP111" s="28" t="str">
        <f t="shared" si="38"/>
        <v/>
      </c>
      <c r="AQ111" s="28" t="str">
        <f t="shared" si="39"/>
        <v/>
      </c>
      <c r="AR111" s="28" t="str">
        <f t="shared" si="40"/>
        <v/>
      </c>
      <c r="AS111" s="28" t="str">
        <f t="shared" si="41"/>
        <v/>
      </c>
      <c r="AT111" s="22" t="str">
        <f t="shared" si="42"/>
        <v/>
      </c>
      <c r="AU111" s="31"/>
      <c r="AV111" s="32"/>
      <c r="AW111" s="25"/>
      <c r="AX111" s="21" t="str">
        <f t="shared" si="43"/>
        <v/>
      </c>
      <c r="AY111" s="21" t="str">
        <f>IF(AX111="","",COUNTIF(AX$5:AX111,AX111))</f>
        <v/>
      </c>
    </row>
    <row r="112" spans="1:51" ht="15" customHeight="1" x14ac:dyDescent="0.25">
      <c r="A112" s="33" t="str">
        <f t="shared" si="33"/>
        <v/>
      </c>
      <c r="B112" s="34"/>
      <c r="C112" s="35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4"/>
      <c r="U112" s="35"/>
      <c r="V112" s="37"/>
      <c r="W112" s="37"/>
      <c r="X112" s="38" t="str">
        <f t="shared" si="34"/>
        <v/>
      </c>
      <c r="Y112" s="39" t="str">
        <f t="shared" si="35"/>
        <v/>
      </c>
      <c r="Z112" s="37"/>
      <c r="AA112" s="37"/>
      <c r="AB112" s="37"/>
      <c r="AC112" s="38" t="str">
        <f t="shared" si="36"/>
        <v/>
      </c>
      <c r="AD112" s="37"/>
      <c r="AE112" s="36"/>
      <c r="AF112" s="36"/>
      <c r="AG112" s="40"/>
      <c r="AH112" s="36"/>
      <c r="AI112" s="40"/>
      <c r="AJ112" s="36"/>
      <c r="AK112" s="36"/>
      <c r="AL112" s="36"/>
      <c r="AM112" s="34"/>
      <c r="AN112" s="35"/>
      <c r="AO112" s="41" t="str">
        <f t="shared" si="37"/>
        <v/>
      </c>
      <c r="AP112" s="39" t="str">
        <f t="shared" si="38"/>
        <v/>
      </c>
      <c r="AQ112" s="39" t="str">
        <f t="shared" si="39"/>
        <v/>
      </c>
      <c r="AR112" s="39" t="str">
        <f t="shared" si="40"/>
        <v/>
      </c>
      <c r="AS112" s="39" t="str">
        <f t="shared" si="41"/>
        <v/>
      </c>
      <c r="AT112" s="33" t="str">
        <f t="shared" si="42"/>
        <v/>
      </c>
      <c r="AU112" s="31"/>
      <c r="AV112" s="32"/>
      <c r="AW112" s="36"/>
      <c r="AX112" s="21" t="str">
        <f t="shared" si="43"/>
        <v/>
      </c>
      <c r="AY112" s="21" t="str">
        <f>IF(AX112="","",COUNTIF(AX$5:AX112,AX112))</f>
        <v/>
      </c>
    </row>
    <row r="113" spans="1:51" ht="15" customHeight="1" x14ac:dyDescent="0.25">
      <c r="A113" s="22" t="str">
        <f t="shared" si="33"/>
        <v/>
      </c>
      <c r="B113" s="23"/>
      <c r="C113" s="24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3"/>
      <c r="U113" s="24"/>
      <c r="V113" s="26"/>
      <c r="W113" s="26"/>
      <c r="X113" s="27" t="str">
        <f t="shared" si="34"/>
        <v/>
      </c>
      <c r="Y113" s="28" t="str">
        <f t="shared" si="35"/>
        <v/>
      </c>
      <c r="Z113" s="26"/>
      <c r="AA113" s="26"/>
      <c r="AB113" s="26"/>
      <c r="AC113" s="27" t="str">
        <f t="shared" si="36"/>
        <v/>
      </c>
      <c r="AD113" s="26"/>
      <c r="AE113" s="25"/>
      <c r="AF113" s="25"/>
      <c r="AG113" s="29"/>
      <c r="AH113" s="25"/>
      <c r="AI113" s="29"/>
      <c r="AJ113" s="25"/>
      <c r="AK113" s="25"/>
      <c r="AL113" s="25"/>
      <c r="AM113" s="23"/>
      <c r="AN113" s="24"/>
      <c r="AO113" s="30" t="str">
        <f t="shared" si="37"/>
        <v/>
      </c>
      <c r="AP113" s="28" t="str">
        <f t="shared" si="38"/>
        <v/>
      </c>
      <c r="AQ113" s="28" t="str">
        <f t="shared" si="39"/>
        <v/>
      </c>
      <c r="AR113" s="28" t="str">
        <f t="shared" si="40"/>
        <v/>
      </c>
      <c r="AS113" s="28" t="str">
        <f t="shared" si="41"/>
        <v/>
      </c>
      <c r="AT113" s="22" t="str">
        <f t="shared" si="42"/>
        <v/>
      </c>
      <c r="AU113" s="31"/>
      <c r="AV113" s="32"/>
      <c r="AW113" s="25"/>
      <c r="AX113" s="21" t="str">
        <f t="shared" si="43"/>
        <v/>
      </c>
      <c r="AY113" s="21" t="str">
        <f>IF(AX113="","",COUNTIF(AX$5:AX113,AX113))</f>
        <v/>
      </c>
    </row>
    <row r="114" spans="1:51" ht="15" customHeight="1" x14ac:dyDescent="0.25">
      <c r="A114" s="33" t="str">
        <f t="shared" si="33"/>
        <v/>
      </c>
      <c r="B114" s="34"/>
      <c r="C114" s="35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4"/>
      <c r="U114" s="35"/>
      <c r="V114" s="37"/>
      <c r="W114" s="37"/>
      <c r="X114" s="38" t="str">
        <f t="shared" si="34"/>
        <v/>
      </c>
      <c r="Y114" s="39" t="str">
        <f t="shared" si="35"/>
        <v/>
      </c>
      <c r="Z114" s="37"/>
      <c r="AA114" s="37"/>
      <c r="AB114" s="37"/>
      <c r="AC114" s="38" t="str">
        <f t="shared" si="36"/>
        <v/>
      </c>
      <c r="AD114" s="37"/>
      <c r="AE114" s="36"/>
      <c r="AF114" s="36"/>
      <c r="AG114" s="40"/>
      <c r="AH114" s="36"/>
      <c r="AI114" s="40"/>
      <c r="AJ114" s="36"/>
      <c r="AK114" s="36"/>
      <c r="AL114" s="36"/>
      <c r="AM114" s="34"/>
      <c r="AN114" s="35"/>
      <c r="AO114" s="41" t="str">
        <f t="shared" si="37"/>
        <v/>
      </c>
      <c r="AP114" s="39" t="str">
        <f t="shared" si="38"/>
        <v/>
      </c>
      <c r="AQ114" s="39" t="str">
        <f t="shared" si="39"/>
        <v/>
      </c>
      <c r="AR114" s="39" t="str">
        <f t="shared" si="40"/>
        <v/>
      </c>
      <c r="AS114" s="39" t="str">
        <f t="shared" si="41"/>
        <v/>
      </c>
      <c r="AT114" s="33" t="str">
        <f t="shared" si="42"/>
        <v/>
      </c>
      <c r="AU114" s="31"/>
      <c r="AV114" s="32"/>
      <c r="AW114" s="36"/>
      <c r="AX114" s="21" t="str">
        <f t="shared" si="43"/>
        <v/>
      </c>
      <c r="AY114" s="21" t="str">
        <f>IF(AX114="","",COUNTIF(AX$5:AX114,AX114))</f>
        <v/>
      </c>
    </row>
    <row r="115" spans="1:51" ht="15" customHeight="1" x14ac:dyDescent="0.25">
      <c r="A115" s="22" t="str">
        <f t="shared" si="33"/>
        <v/>
      </c>
      <c r="B115" s="23"/>
      <c r="C115" s="24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3"/>
      <c r="U115" s="24"/>
      <c r="V115" s="26"/>
      <c r="W115" s="26"/>
      <c r="X115" s="27" t="str">
        <f t="shared" si="34"/>
        <v/>
      </c>
      <c r="Y115" s="28" t="str">
        <f t="shared" si="35"/>
        <v/>
      </c>
      <c r="Z115" s="26"/>
      <c r="AA115" s="26"/>
      <c r="AB115" s="26"/>
      <c r="AC115" s="27" t="str">
        <f t="shared" si="36"/>
        <v/>
      </c>
      <c r="AD115" s="26"/>
      <c r="AE115" s="25"/>
      <c r="AF115" s="25"/>
      <c r="AG115" s="29"/>
      <c r="AH115" s="25"/>
      <c r="AI115" s="29"/>
      <c r="AJ115" s="25"/>
      <c r="AK115" s="25"/>
      <c r="AL115" s="25"/>
      <c r="AM115" s="23"/>
      <c r="AN115" s="24"/>
      <c r="AO115" s="30" t="str">
        <f t="shared" si="37"/>
        <v/>
      </c>
      <c r="AP115" s="28" t="str">
        <f t="shared" si="38"/>
        <v/>
      </c>
      <c r="AQ115" s="28" t="str">
        <f t="shared" si="39"/>
        <v/>
      </c>
      <c r="AR115" s="28" t="str">
        <f t="shared" si="40"/>
        <v/>
      </c>
      <c r="AS115" s="28" t="str">
        <f t="shared" si="41"/>
        <v/>
      </c>
      <c r="AT115" s="22" t="str">
        <f t="shared" si="42"/>
        <v/>
      </c>
      <c r="AU115" s="31"/>
      <c r="AV115" s="32"/>
      <c r="AW115" s="25"/>
      <c r="AX115" s="21" t="str">
        <f t="shared" si="43"/>
        <v/>
      </c>
      <c r="AY115" s="21" t="str">
        <f>IF(AX115="","",COUNTIF(AX$5:AX115,AX115))</f>
        <v/>
      </c>
    </row>
    <row r="116" spans="1:51" ht="15" customHeight="1" x14ac:dyDescent="0.25">
      <c r="A116" s="33" t="str">
        <f t="shared" si="33"/>
        <v/>
      </c>
      <c r="B116" s="34"/>
      <c r="C116" s="35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4"/>
      <c r="U116" s="35"/>
      <c r="V116" s="37"/>
      <c r="W116" s="37"/>
      <c r="X116" s="38" t="str">
        <f t="shared" si="34"/>
        <v/>
      </c>
      <c r="Y116" s="39" t="str">
        <f t="shared" si="35"/>
        <v/>
      </c>
      <c r="Z116" s="37"/>
      <c r="AA116" s="37"/>
      <c r="AB116" s="37"/>
      <c r="AC116" s="38" t="str">
        <f t="shared" si="36"/>
        <v/>
      </c>
      <c r="AD116" s="37"/>
      <c r="AE116" s="36"/>
      <c r="AF116" s="36"/>
      <c r="AG116" s="40"/>
      <c r="AH116" s="36"/>
      <c r="AI116" s="40"/>
      <c r="AJ116" s="36"/>
      <c r="AK116" s="36"/>
      <c r="AL116" s="36"/>
      <c r="AM116" s="34"/>
      <c r="AN116" s="35"/>
      <c r="AO116" s="41" t="str">
        <f t="shared" si="37"/>
        <v/>
      </c>
      <c r="AP116" s="39" t="str">
        <f t="shared" si="38"/>
        <v/>
      </c>
      <c r="AQ116" s="39" t="str">
        <f t="shared" si="39"/>
        <v/>
      </c>
      <c r="AR116" s="39" t="str">
        <f t="shared" si="40"/>
        <v/>
      </c>
      <c r="AS116" s="39" t="str">
        <f t="shared" si="41"/>
        <v/>
      </c>
      <c r="AT116" s="33" t="str">
        <f t="shared" si="42"/>
        <v/>
      </c>
      <c r="AU116" s="31"/>
      <c r="AV116" s="32"/>
      <c r="AW116" s="36"/>
      <c r="AX116" s="21" t="str">
        <f t="shared" si="43"/>
        <v/>
      </c>
      <c r="AY116" s="21" t="str">
        <f>IF(AX116="","",COUNTIF(AX$5:AX116,AX116))</f>
        <v/>
      </c>
    </row>
    <row r="117" spans="1:51" ht="15" customHeight="1" x14ac:dyDescent="0.25">
      <c r="A117" s="22" t="str">
        <f t="shared" si="33"/>
        <v/>
      </c>
      <c r="B117" s="23"/>
      <c r="C117" s="24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3"/>
      <c r="U117" s="24"/>
      <c r="V117" s="26"/>
      <c r="W117" s="26"/>
      <c r="X117" s="27" t="str">
        <f t="shared" si="34"/>
        <v/>
      </c>
      <c r="Y117" s="28" t="str">
        <f t="shared" si="35"/>
        <v/>
      </c>
      <c r="Z117" s="26"/>
      <c r="AA117" s="26"/>
      <c r="AB117" s="26"/>
      <c r="AC117" s="27" t="str">
        <f t="shared" si="36"/>
        <v/>
      </c>
      <c r="AD117" s="26"/>
      <c r="AE117" s="25"/>
      <c r="AF117" s="25"/>
      <c r="AG117" s="29"/>
      <c r="AH117" s="25"/>
      <c r="AI117" s="29"/>
      <c r="AJ117" s="25"/>
      <c r="AK117" s="25"/>
      <c r="AL117" s="25"/>
      <c r="AM117" s="23"/>
      <c r="AN117" s="24"/>
      <c r="AO117" s="30" t="str">
        <f t="shared" si="37"/>
        <v/>
      </c>
      <c r="AP117" s="28" t="str">
        <f t="shared" si="38"/>
        <v/>
      </c>
      <c r="AQ117" s="28" t="str">
        <f t="shared" si="39"/>
        <v/>
      </c>
      <c r="AR117" s="28" t="str">
        <f t="shared" si="40"/>
        <v/>
      </c>
      <c r="AS117" s="28" t="str">
        <f t="shared" si="41"/>
        <v/>
      </c>
      <c r="AT117" s="22" t="str">
        <f t="shared" si="42"/>
        <v/>
      </c>
      <c r="AU117" s="31"/>
      <c r="AV117" s="32"/>
      <c r="AW117" s="25"/>
      <c r="AX117" s="21" t="str">
        <f t="shared" si="43"/>
        <v/>
      </c>
      <c r="AY117" s="21" t="str">
        <f>IF(AX117="","",COUNTIF(AX$5:AX117,AX117))</f>
        <v/>
      </c>
    </row>
    <row r="118" spans="1:51" ht="15" customHeight="1" x14ac:dyDescent="0.25">
      <c r="A118" s="33" t="str">
        <f t="shared" si="33"/>
        <v/>
      </c>
      <c r="B118" s="34"/>
      <c r="C118" s="35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4"/>
      <c r="U118" s="35"/>
      <c r="V118" s="37"/>
      <c r="W118" s="37"/>
      <c r="X118" s="38" t="str">
        <f t="shared" si="34"/>
        <v/>
      </c>
      <c r="Y118" s="39" t="str">
        <f t="shared" si="35"/>
        <v/>
      </c>
      <c r="Z118" s="37"/>
      <c r="AA118" s="37"/>
      <c r="AB118" s="37"/>
      <c r="AC118" s="38" t="str">
        <f t="shared" si="36"/>
        <v/>
      </c>
      <c r="AD118" s="37"/>
      <c r="AE118" s="36"/>
      <c r="AF118" s="36"/>
      <c r="AG118" s="40"/>
      <c r="AH118" s="36"/>
      <c r="AI118" s="40"/>
      <c r="AJ118" s="36"/>
      <c r="AK118" s="36"/>
      <c r="AL118" s="36"/>
      <c r="AM118" s="34"/>
      <c r="AN118" s="35"/>
      <c r="AO118" s="41" t="str">
        <f t="shared" si="37"/>
        <v/>
      </c>
      <c r="AP118" s="39" t="str">
        <f t="shared" si="38"/>
        <v/>
      </c>
      <c r="AQ118" s="39" t="str">
        <f t="shared" si="39"/>
        <v/>
      </c>
      <c r="AR118" s="39" t="str">
        <f t="shared" si="40"/>
        <v/>
      </c>
      <c r="AS118" s="39" t="str">
        <f t="shared" si="41"/>
        <v/>
      </c>
      <c r="AT118" s="33" t="str">
        <f t="shared" si="42"/>
        <v/>
      </c>
      <c r="AU118" s="31"/>
      <c r="AV118" s="32"/>
      <c r="AW118" s="36"/>
      <c r="AX118" s="21" t="str">
        <f t="shared" si="43"/>
        <v/>
      </c>
      <c r="AY118" s="21" t="str">
        <f>IF(AX118="","",COUNTIF(AX$5:AX118,AX118))</f>
        <v/>
      </c>
    </row>
    <row r="119" spans="1:51" ht="15" customHeight="1" x14ac:dyDescent="0.25">
      <c r="A119" s="22" t="str">
        <f t="shared" si="33"/>
        <v/>
      </c>
      <c r="B119" s="23"/>
      <c r="C119" s="24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3"/>
      <c r="U119" s="24"/>
      <c r="V119" s="26"/>
      <c r="W119" s="26"/>
      <c r="X119" s="27" t="str">
        <f t="shared" si="34"/>
        <v/>
      </c>
      <c r="Y119" s="28" t="str">
        <f t="shared" si="35"/>
        <v/>
      </c>
      <c r="Z119" s="26"/>
      <c r="AA119" s="26"/>
      <c r="AB119" s="26"/>
      <c r="AC119" s="27" t="str">
        <f t="shared" si="36"/>
        <v/>
      </c>
      <c r="AD119" s="26"/>
      <c r="AE119" s="25"/>
      <c r="AF119" s="25"/>
      <c r="AG119" s="29"/>
      <c r="AH119" s="25"/>
      <c r="AI119" s="29"/>
      <c r="AJ119" s="25"/>
      <c r="AK119" s="25"/>
      <c r="AL119" s="25"/>
      <c r="AM119" s="23"/>
      <c r="AN119" s="24"/>
      <c r="AO119" s="30" t="str">
        <f t="shared" si="37"/>
        <v/>
      </c>
      <c r="AP119" s="28" t="str">
        <f t="shared" si="38"/>
        <v/>
      </c>
      <c r="AQ119" s="28" t="str">
        <f t="shared" si="39"/>
        <v/>
      </c>
      <c r="AR119" s="28" t="str">
        <f t="shared" si="40"/>
        <v/>
      </c>
      <c r="AS119" s="28" t="str">
        <f t="shared" si="41"/>
        <v/>
      </c>
      <c r="AT119" s="22" t="str">
        <f t="shared" si="42"/>
        <v/>
      </c>
      <c r="AU119" s="31"/>
      <c r="AV119" s="32"/>
      <c r="AW119" s="25"/>
      <c r="AX119" s="21" t="str">
        <f t="shared" si="43"/>
        <v/>
      </c>
      <c r="AY119" s="21" t="str">
        <f>IF(AX119="","",COUNTIF(AX$5:AX119,AX119))</f>
        <v/>
      </c>
    </row>
    <row r="120" spans="1:51" ht="15" customHeight="1" x14ac:dyDescent="0.25">
      <c r="A120" s="33" t="str">
        <f t="shared" si="33"/>
        <v/>
      </c>
      <c r="B120" s="34"/>
      <c r="C120" s="35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4"/>
      <c r="U120" s="35"/>
      <c r="V120" s="37"/>
      <c r="W120" s="37"/>
      <c r="X120" s="38" t="str">
        <f t="shared" si="34"/>
        <v/>
      </c>
      <c r="Y120" s="39" t="str">
        <f t="shared" si="35"/>
        <v/>
      </c>
      <c r="Z120" s="37"/>
      <c r="AA120" s="37"/>
      <c r="AB120" s="37"/>
      <c r="AC120" s="38" t="str">
        <f t="shared" si="36"/>
        <v/>
      </c>
      <c r="AD120" s="37"/>
      <c r="AE120" s="36"/>
      <c r="AF120" s="36"/>
      <c r="AG120" s="40"/>
      <c r="AH120" s="36"/>
      <c r="AI120" s="40"/>
      <c r="AJ120" s="36"/>
      <c r="AK120" s="36"/>
      <c r="AL120" s="36"/>
      <c r="AM120" s="34"/>
      <c r="AN120" s="35"/>
      <c r="AO120" s="41" t="str">
        <f t="shared" si="37"/>
        <v/>
      </c>
      <c r="AP120" s="39" t="str">
        <f t="shared" si="38"/>
        <v/>
      </c>
      <c r="AQ120" s="39" t="str">
        <f t="shared" si="39"/>
        <v/>
      </c>
      <c r="AR120" s="39" t="str">
        <f t="shared" si="40"/>
        <v/>
      </c>
      <c r="AS120" s="39" t="str">
        <f t="shared" si="41"/>
        <v/>
      </c>
      <c r="AT120" s="33" t="str">
        <f t="shared" si="42"/>
        <v/>
      </c>
      <c r="AU120" s="31"/>
      <c r="AV120" s="32"/>
      <c r="AW120" s="36"/>
      <c r="AX120" s="21" t="str">
        <f t="shared" si="43"/>
        <v/>
      </c>
      <c r="AY120" s="21" t="str">
        <f>IF(AX120="","",COUNTIF(AX$5:AX120,AX120))</f>
        <v/>
      </c>
    </row>
    <row r="121" spans="1:51" ht="15" customHeight="1" x14ac:dyDescent="0.25">
      <c r="A121" s="22" t="str">
        <f t="shared" si="33"/>
        <v/>
      </c>
      <c r="B121" s="23"/>
      <c r="C121" s="24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3"/>
      <c r="U121" s="24"/>
      <c r="V121" s="26"/>
      <c r="W121" s="26"/>
      <c r="X121" s="27" t="str">
        <f t="shared" si="34"/>
        <v/>
      </c>
      <c r="Y121" s="28" t="str">
        <f t="shared" si="35"/>
        <v/>
      </c>
      <c r="Z121" s="26"/>
      <c r="AA121" s="26"/>
      <c r="AB121" s="26"/>
      <c r="AC121" s="27" t="str">
        <f t="shared" si="36"/>
        <v/>
      </c>
      <c r="AD121" s="26"/>
      <c r="AE121" s="25"/>
      <c r="AF121" s="25"/>
      <c r="AG121" s="29"/>
      <c r="AH121" s="25"/>
      <c r="AI121" s="29"/>
      <c r="AJ121" s="25"/>
      <c r="AK121" s="25"/>
      <c r="AL121" s="25"/>
      <c r="AM121" s="23"/>
      <c r="AN121" s="24"/>
      <c r="AO121" s="30" t="str">
        <f t="shared" si="37"/>
        <v/>
      </c>
      <c r="AP121" s="28" t="str">
        <f t="shared" si="38"/>
        <v/>
      </c>
      <c r="AQ121" s="28" t="str">
        <f t="shared" si="39"/>
        <v/>
      </c>
      <c r="AR121" s="28" t="str">
        <f t="shared" si="40"/>
        <v/>
      </c>
      <c r="AS121" s="28" t="str">
        <f t="shared" si="41"/>
        <v/>
      </c>
      <c r="AT121" s="22" t="str">
        <f t="shared" si="42"/>
        <v/>
      </c>
      <c r="AU121" s="31"/>
      <c r="AV121" s="32"/>
      <c r="AW121" s="25"/>
      <c r="AX121" s="21" t="str">
        <f t="shared" si="43"/>
        <v/>
      </c>
      <c r="AY121" s="21" t="str">
        <f>IF(AX121="","",COUNTIF(AX$5:AX121,AX121))</f>
        <v/>
      </c>
    </row>
    <row r="122" spans="1:51" ht="15" customHeight="1" x14ac:dyDescent="0.25">
      <c r="A122" s="33" t="str">
        <f t="shared" si="33"/>
        <v/>
      </c>
      <c r="B122" s="34"/>
      <c r="C122" s="35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4"/>
      <c r="U122" s="35"/>
      <c r="V122" s="37"/>
      <c r="W122" s="37"/>
      <c r="X122" s="38" t="str">
        <f t="shared" si="34"/>
        <v/>
      </c>
      <c r="Y122" s="39" t="str">
        <f t="shared" si="35"/>
        <v/>
      </c>
      <c r="Z122" s="37"/>
      <c r="AA122" s="37"/>
      <c r="AB122" s="37"/>
      <c r="AC122" s="38" t="str">
        <f t="shared" si="36"/>
        <v/>
      </c>
      <c r="AD122" s="37"/>
      <c r="AE122" s="36"/>
      <c r="AF122" s="36"/>
      <c r="AG122" s="40"/>
      <c r="AH122" s="36"/>
      <c r="AI122" s="40"/>
      <c r="AJ122" s="36"/>
      <c r="AK122" s="36"/>
      <c r="AL122" s="36"/>
      <c r="AM122" s="34"/>
      <c r="AN122" s="35"/>
      <c r="AO122" s="41" t="str">
        <f t="shared" si="37"/>
        <v/>
      </c>
      <c r="AP122" s="39" t="str">
        <f t="shared" si="38"/>
        <v/>
      </c>
      <c r="AQ122" s="39" t="str">
        <f t="shared" si="39"/>
        <v/>
      </c>
      <c r="AR122" s="39" t="str">
        <f t="shared" si="40"/>
        <v/>
      </c>
      <c r="AS122" s="39" t="str">
        <f t="shared" si="41"/>
        <v/>
      </c>
      <c r="AT122" s="33" t="str">
        <f t="shared" si="42"/>
        <v/>
      </c>
      <c r="AU122" s="31"/>
      <c r="AV122" s="32"/>
      <c r="AW122" s="36"/>
      <c r="AX122" s="21" t="str">
        <f t="shared" si="43"/>
        <v/>
      </c>
      <c r="AY122" s="21" t="str">
        <f>IF(AX122="","",COUNTIF(AX$5:AX122,AX122))</f>
        <v/>
      </c>
    </row>
    <row r="123" spans="1:51" ht="15" customHeight="1" x14ac:dyDescent="0.25">
      <c r="A123" s="22" t="str">
        <f t="shared" si="33"/>
        <v/>
      </c>
      <c r="B123" s="23"/>
      <c r="C123" s="24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3"/>
      <c r="U123" s="24"/>
      <c r="V123" s="26"/>
      <c r="W123" s="26"/>
      <c r="X123" s="27" t="str">
        <f t="shared" si="34"/>
        <v/>
      </c>
      <c r="Y123" s="28" t="str">
        <f t="shared" si="35"/>
        <v/>
      </c>
      <c r="Z123" s="26"/>
      <c r="AA123" s="26"/>
      <c r="AB123" s="26"/>
      <c r="AC123" s="27" t="str">
        <f t="shared" si="36"/>
        <v/>
      </c>
      <c r="AD123" s="26"/>
      <c r="AE123" s="25"/>
      <c r="AF123" s="25"/>
      <c r="AG123" s="29"/>
      <c r="AH123" s="25"/>
      <c r="AI123" s="29"/>
      <c r="AJ123" s="25"/>
      <c r="AK123" s="25"/>
      <c r="AL123" s="25"/>
      <c r="AM123" s="23"/>
      <c r="AN123" s="24"/>
      <c r="AO123" s="30" t="str">
        <f t="shared" si="37"/>
        <v/>
      </c>
      <c r="AP123" s="28" t="str">
        <f t="shared" si="38"/>
        <v/>
      </c>
      <c r="AQ123" s="28" t="str">
        <f t="shared" si="39"/>
        <v/>
      </c>
      <c r="AR123" s="28" t="str">
        <f t="shared" si="40"/>
        <v/>
      </c>
      <c r="AS123" s="28" t="str">
        <f t="shared" si="41"/>
        <v/>
      </c>
      <c r="AT123" s="22" t="str">
        <f t="shared" si="42"/>
        <v/>
      </c>
      <c r="AU123" s="31"/>
      <c r="AV123" s="32"/>
      <c r="AW123" s="25"/>
      <c r="AX123" s="21" t="str">
        <f t="shared" si="43"/>
        <v/>
      </c>
      <c r="AY123" s="21" t="str">
        <f>IF(AX123="","",COUNTIF(AX$5:AX123,AX123))</f>
        <v/>
      </c>
    </row>
    <row r="124" spans="1:51" ht="15" customHeight="1" x14ac:dyDescent="0.25">
      <c r="A124" s="33" t="str">
        <f t="shared" si="33"/>
        <v/>
      </c>
      <c r="B124" s="34"/>
      <c r="C124" s="35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4"/>
      <c r="U124" s="35"/>
      <c r="V124" s="37"/>
      <c r="W124" s="37"/>
      <c r="X124" s="38" t="str">
        <f t="shared" si="34"/>
        <v/>
      </c>
      <c r="Y124" s="39" t="str">
        <f t="shared" si="35"/>
        <v/>
      </c>
      <c r="Z124" s="37"/>
      <c r="AA124" s="37"/>
      <c r="AB124" s="37"/>
      <c r="AC124" s="38" t="str">
        <f t="shared" si="36"/>
        <v/>
      </c>
      <c r="AD124" s="37"/>
      <c r="AE124" s="36"/>
      <c r="AF124" s="36"/>
      <c r="AG124" s="40"/>
      <c r="AH124" s="36"/>
      <c r="AI124" s="40"/>
      <c r="AJ124" s="36"/>
      <c r="AK124" s="36"/>
      <c r="AL124" s="36"/>
      <c r="AM124" s="34"/>
      <c r="AN124" s="35"/>
      <c r="AO124" s="41" t="str">
        <f t="shared" si="37"/>
        <v/>
      </c>
      <c r="AP124" s="39" t="str">
        <f t="shared" si="38"/>
        <v/>
      </c>
      <c r="AQ124" s="39" t="str">
        <f t="shared" si="39"/>
        <v/>
      </c>
      <c r="AR124" s="39" t="str">
        <f t="shared" si="40"/>
        <v/>
      </c>
      <c r="AS124" s="39" t="str">
        <f t="shared" si="41"/>
        <v/>
      </c>
      <c r="AT124" s="33" t="str">
        <f t="shared" si="42"/>
        <v/>
      </c>
      <c r="AU124" s="31"/>
      <c r="AV124" s="32"/>
      <c r="AW124" s="36"/>
      <c r="AX124" s="21" t="str">
        <f t="shared" si="43"/>
        <v/>
      </c>
      <c r="AY124" s="21" t="str">
        <f>IF(AX124="","",COUNTIF(AX$5:AX124,AX124))</f>
        <v/>
      </c>
    </row>
    <row r="125" spans="1:51" ht="15" customHeight="1" x14ac:dyDescent="0.25">
      <c r="A125" s="22" t="str">
        <f t="shared" si="33"/>
        <v/>
      </c>
      <c r="B125" s="23"/>
      <c r="C125" s="24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3"/>
      <c r="U125" s="24"/>
      <c r="V125" s="26"/>
      <c r="W125" s="26"/>
      <c r="X125" s="27" t="str">
        <f t="shared" si="34"/>
        <v/>
      </c>
      <c r="Y125" s="28" t="str">
        <f t="shared" si="35"/>
        <v/>
      </c>
      <c r="Z125" s="26"/>
      <c r="AA125" s="26"/>
      <c r="AB125" s="26"/>
      <c r="AC125" s="27" t="str">
        <f t="shared" si="36"/>
        <v/>
      </c>
      <c r="AD125" s="26"/>
      <c r="AE125" s="25"/>
      <c r="AF125" s="25"/>
      <c r="AG125" s="29"/>
      <c r="AH125" s="25"/>
      <c r="AI125" s="29"/>
      <c r="AJ125" s="25"/>
      <c r="AK125" s="25"/>
      <c r="AL125" s="25"/>
      <c r="AM125" s="23"/>
      <c r="AN125" s="24"/>
      <c r="AO125" s="30" t="str">
        <f t="shared" si="37"/>
        <v/>
      </c>
      <c r="AP125" s="28" t="str">
        <f t="shared" si="38"/>
        <v/>
      </c>
      <c r="AQ125" s="28" t="str">
        <f t="shared" si="39"/>
        <v/>
      </c>
      <c r="AR125" s="28" t="str">
        <f t="shared" si="40"/>
        <v/>
      </c>
      <c r="AS125" s="28" t="str">
        <f t="shared" si="41"/>
        <v/>
      </c>
      <c r="AT125" s="22" t="str">
        <f t="shared" si="42"/>
        <v/>
      </c>
      <c r="AU125" s="31"/>
      <c r="AV125" s="32"/>
      <c r="AW125" s="25"/>
      <c r="AX125" s="21" t="str">
        <f t="shared" si="43"/>
        <v/>
      </c>
      <c r="AY125" s="21" t="str">
        <f>IF(AX125="","",COUNTIF(AX$5:AX125,AX125))</f>
        <v/>
      </c>
    </row>
    <row r="126" spans="1:51" ht="15" customHeight="1" x14ac:dyDescent="0.25">
      <c r="A126" s="33" t="str">
        <f t="shared" si="33"/>
        <v/>
      </c>
      <c r="B126" s="34"/>
      <c r="C126" s="35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4"/>
      <c r="U126" s="35"/>
      <c r="V126" s="37"/>
      <c r="W126" s="37"/>
      <c r="X126" s="38" t="str">
        <f t="shared" si="34"/>
        <v/>
      </c>
      <c r="Y126" s="39" t="str">
        <f t="shared" si="35"/>
        <v/>
      </c>
      <c r="Z126" s="37"/>
      <c r="AA126" s="37"/>
      <c r="AB126" s="37"/>
      <c r="AC126" s="38" t="str">
        <f t="shared" si="36"/>
        <v/>
      </c>
      <c r="AD126" s="37"/>
      <c r="AE126" s="36"/>
      <c r="AF126" s="36"/>
      <c r="AG126" s="40"/>
      <c r="AH126" s="36"/>
      <c r="AI126" s="40"/>
      <c r="AJ126" s="36"/>
      <c r="AK126" s="36"/>
      <c r="AL126" s="36"/>
      <c r="AM126" s="34"/>
      <c r="AN126" s="35"/>
      <c r="AO126" s="41" t="str">
        <f t="shared" si="37"/>
        <v/>
      </c>
      <c r="AP126" s="39" t="str">
        <f t="shared" si="38"/>
        <v/>
      </c>
      <c r="AQ126" s="39" t="str">
        <f t="shared" si="39"/>
        <v/>
      </c>
      <c r="AR126" s="39" t="str">
        <f t="shared" si="40"/>
        <v/>
      </c>
      <c r="AS126" s="39" t="str">
        <f t="shared" si="41"/>
        <v/>
      </c>
      <c r="AT126" s="33" t="str">
        <f t="shared" si="42"/>
        <v/>
      </c>
      <c r="AU126" s="31"/>
      <c r="AV126" s="32"/>
      <c r="AW126" s="36"/>
      <c r="AX126" s="21" t="str">
        <f t="shared" si="43"/>
        <v/>
      </c>
      <c r="AY126" s="21" t="str">
        <f>IF(AX126="","",COUNTIF(AX$5:AX126,AX126))</f>
        <v/>
      </c>
    </row>
    <row r="127" spans="1:51" ht="15" customHeight="1" x14ac:dyDescent="0.25">
      <c r="A127" s="22" t="str">
        <f t="shared" si="33"/>
        <v/>
      </c>
      <c r="B127" s="23"/>
      <c r="C127" s="24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3"/>
      <c r="U127" s="24"/>
      <c r="V127" s="26"/>
      <c r="W127" s="26"/>
      <c r="X127" s="27" t="str">
        <f t="shared" si="34"/>
        <v/>
      </c>
      <c r="Y127" s="28" t="str">
        <f t="shared" si="35"/>
        <v/>
      </c>
      <c r="Z127" s="26"/>
      <c r="AA127" s="26"/>
      <c r="AB127" s="26"/>
      <c r="AC127" s="27" t="str">
        <f t="shared" si="36"/>
        <v/>
      </c>
      <c r="AD127" s="26"/>
      <c r="AE127" s="25"/>
      <c r="AF127" s="25"/>
      <c r="AG127" s="29"/>
      <c r="AH127" s="25"/>
      <c r="AI127" s="29"/>
      <c r="AJ127" s="25"/>
      <c r="AK127" s="25"/>
      <c r="AL127" s="25"/>
      <c r="AM127" s="23"/>
      <c r="AN127" s="24"/>
      <c r="AO127" s="30" t="str">
        <f t="shared" si="37"/>
        <v/>
      </c>
      <c r="AP127" s="28" t="str">
        <f t="shared" si="38"/>
        <v/>
      </c>
      <c r="AQ127" s="28" t="str">
        <f t="shared" si="39"/>
        <v/>
      </c>
      <c r="AR127" s="28" t="str">
        <f t="shared" si="40"/>
        <v/>
      </c>
      <c r="AS127" s="28" t="str">
        <f t="shared" si="41"/>
        <v/>
      </c>
      <c r="AT127" s="22" t="str">
        <f t="shared" si="42"/>
        <v/>
      </c>
      <c r="AU127" s="31"/>
      <c r="AV127" s="32"/>
      <c r="AW127" s="25"/>
      <c r="AX127" s="21" t="str">
        <f t="shared" si="43"/>
        <v/>
      </c>
      <c r="AY127" s="21" t="str">
        <f>IF(AX127="","",COUNTIF(AX$5:AX127,AX127))</f>
        <v/>
      </c>
    </row>
    <row r="128" spans="1:51" ht="15" customHeight="1" x14ac:dyDescent="0.25">
      <c r="A128" s="33" t="str">
        <f t="shared" si="33"/>
        <v/>
      </c>
      <c r="B128" s="34"/>
      <c r="C128" s="35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4"/>
      <c r="U128" s="35"/>
      <c r="V128" s="37"/>
      <c r="W128" s="37"/>
      <c r="X128" s="38" t="str">
        <f t="shared" si="34"/>
        <v/>
      </c>
      <c r="Y128" s="39" t="str">
        <f t="shared" si="35"/>
        <v/>
      </c>
      <c r="Z128" s="37"/>
      <c r="AA128" s="37"/>
      <c r="AB128" s="37"/>
      <c r="AC128" s="38" t="str">
        <f t="shared" si="36"/>
        <v/>
      </c>
      <c r="AD128" s="37"/>
      <c r="AE128" s="36"/>
      <c r="AF128" s="36"/>
      <c r="AG128" s="40"/>
      <c r="AH128" s="36"/>
      <c r="AI128" s="40"/>
      <c r="AJ128" s="36"/>
      <c r="AK128" s="36"/>
      <c r="AL128" s="36"/>
      <c r="AM128" s="34"/>
      <c r="AN128" s="35"/>
      <c r="AO128" s="41" t="str">
        <f t="shared" si="37"/>
        <v/>
      </c>
      <c r="AP128" s="39" t="str">
        <f t="shared" si="38"/>
        <v/>
      </c>
      <c r="AQ128" s="39" t="str">
        <f t="shared" si="39"/>
        <v/>
      </c>
      <c r="AR128" s="39" t="str">
        <f t="shared" si="40"/>
        <v/>
      </c>
      <c r="AS128" s="39" t="str">
        <f t="shared" si="41"/>
        <v/>
      </c>
      <c r="AT128" s="33" t="str">
        <f t="shared" si="42"/>
        <v/>
      </c>
      <c r="AU128" s="31"/>
      <c r="AV128" s="32"/>
      <c r="AW128" s="36"/>
      <c r="AX128" s="21" t="str">
        <f t="shared" si="43"/>
        <v/>
      </c>
      <c r="AY128" s="21" t="str">
        <f>IF(AX128="","",COUNTIF(AX$5:AX128,AX128))</f>
        <v/>
      </c>
    </row>
    <row r="129" spans="1:51" ht="15" customHeight="1" x14ac:dyDescent="0.25">
      <c r="A129" s="22" t="str">
        <f t="shared" si="33"/>
        <v/>
      </c>
      <c r="B129" s="23"/>
      <c r="C129" s="24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3"/>
      <c r="U129" s="24"/>
      <c r="V129" s="26"/>
      <c r="W129" s="26"/>
      <c r="X129" s="27" t="str">
        <f t="shared" si="34"/>
        <v/>
      </c>
      <c r="Y129" s="28" t="str">
        <f t="shared" si="35"/>
        <v/>
      </c>
      <c r="Z129" s="26"/>
      <c r="AA129" s="26"/>
      <c r="AB129" s="26"/>
      <c r="AC129" s="27" t="str">
        <f t="shared" si="36"/>
        <v/>
      </c>
      <c r="AD129" s="26"/>
      <c r="AE129" s="25"/>
      <c r="AF129" s="25"/>
      <c r="AG129" s="29"/>
      <c r="AH129" s="25"/>
      <c r="AI129" s="29"/>
      <c r="AJ129" s="25"/>
      <c r="AK129" s="25"/>
      <c r="AL129" s="25"/>
      <c r="AM129" s="23"/>
      <c r="AN129" s="24"/>
      <c r="AO129" s="30" t="str">
        <f t="shared" si="37"/>
        <v/>
      </c>
      <c r="AP129" s="28" t="str">
        <f t="shared" si="38"/>
        <v/>
      </c>
      <c r="AQ129" s="28" t="str">
        <f t="shared" si="39"/>
        <v/>
      </c>
      <c r="AR129" s="28" t="str">
        <f t="shared" si="40"/>
        <v/>
      </c>
      <c r="AS129" s="28" t="str">
        <f t="shared" si="41"/>
        <v/>
      </c>
      <c r="AT129" s="22" t="str">
        <f t="shared" si="42"/>
        <v/>
      </c>
      <c r="AU129" s="31"/>
      <c r="AV129" s="32"/>
      <c r="AW129" s="25"/>
      <c r="AX129" s="21" t="str">
        <f t="shared" si="43"/>
        <v/>
      </c>
      <c r="AY129" s="21" t="str">
        <f>IF(AX129="","",COUNTIF(AX$5:AX129,AX129))</f>
        <v/>
      </c>
    </row>
    <row r="130" spans="1:51" ht="15" customHeight="1" x14ac:dyDescent="0.25">
      <c r="A130" s="33" t="str">
        <f t="shared" si="33"/>
        <v/>
      </c>
      <c r="B130" s="34"/>
      <c r="C130" s="35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4"/>
      <c r="U130" s="35"/>
      <c r="V130" s="37"/>
      <c r="W130" s="37"/>
      <c r="X130" s="38" t="str">
        <f t="shared" si="34"/>
        <v/>
      </c>
      <c r="Y130" s="39" t="str">
        <f t="shared" si="35"/>
        <v/>
      </c>
      <c r="Z130" s="37"/>
      <c r="AA130" s="37"/>
      <c r="AB130" s="37"/>
      <c r="AC130" s="38" t="str">
        <f t="shared" si="36"/>
        <v/>
      </c>
      <c r="AD130" s="37"/>
      <c r="AE130" s="36"/>
      <c r="AF130" s="36"/>
      <c r="AG130" s="40"/>
      <c r="AH130" s="36"/>
      <c r="AI130" s="40"/>
      <c r="AJ130" s="36"/>
      <c r="AK130" s="36"/>
      <c r="AL130" s="36"/>
      <c r="AM130" s="34"/>
      <c r="AN130" s="35"/>
      <c r="AO130" s="41" t="str">
        <f t="shared" si="37"/>
        <v/>
      </c>
      <c r="AP130" s="39" t="str">
        <f t="shared" si="38"/>
        <v/>
      </c>
      <c r="AQ130" s="39" t="str">
        <f t="shared" si="39"/>
        <v/>
      </c>
      <c r="AR130" s="39" t="str">
        <f t="shared" si="40"/>
        <v/>
      </c>
      <c r="AS130" s="39" t="str">
        <f t="shared" si="41"/>
        <v/>
      </c>
      <c r="AT130" s="33" t="str">
        <f t="shared" si="42"/>
        <v/>
      </c>
      <c r="AU130" s="31"/>
      <c r="AV130" s="32"/>
      <c r="AW130" s="36"/>
      <c r="AX130" s="21" t="str">
        <f t="shared" si="43"/>
        <v/>
      </c>
      <c r="AY130" s="21" t="str">
        <f>IF(AX130="","",COUNTIF(AX$5:AX130,AX130))</f>
        <v/>
      </c>
    </row>
    <row r="131" spans="1:51" ht="15" customHeight="1" x14ac:dyDescent="0.25">
      <c r="A131" s="22" t="str">
        <f t="shared" si="33"/>
        <v/>
      </c>
      <c r="B131" s="23"/>
      <c r="C131" s="24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3"/>
      <c r="U131" s="24"/>
      <c r="V131" s="26"/>
      <c r="W131" s="26"/>
      <c r="X131" s="27" t="str">
        <f t="shared" si="34"/>
        <v/>
      </c>
      <c r="Y131" s="28" t="str">
        <f t="shared" si="35"/>
        <v/>
      </c>
      <c r="Z131" s="26"/>
      <c r="AA131" s="26"/>
      <c r="AB131" s="26"/>
      <c r="AC131" s="27" t="str">
        <f t="shared" si="36"/>
        <v/>
      </c>
      <c r="AD131" s="26"/>
      <c r="AE131" s="25"/>
      <c r="AF131" s="25"/>
      <c r="AG131" s="29"/>
      <c r="AH131" s="25"/>
      <c r="AI131" s="29"/>
      <c r="AJ131" s="25"/>
      <c r="AK131" s="25"/>
      <c r="AL131" s="25"/>
      <c r="AM131" s="23"/>
      <c r="AN131" s="24"/>
      <c r="AO131" s="30" t="str">
        <f t="shared" si="37"/>
        <v/>
      </c>
      <c r="AP131" s="28" t="str">
        <f t="shared" si="38"/>
        <v/>
      </c>
      <c r="AQ131" s="28" t="str">
        <f t="shared" si="39"/>
        <v/>
      </c>
      <c r="AR131" s="28" t="str">
        <f t="shared" si="40"/>
        <v/>
      </c>
      <c r="AS131" s="28" t="str">
        <f t="shared" si="41"/>
        <v/>
      </c>
      <c r="AT131" s="22" t="str">
        <f t="shared" si="42"/>
        <v/>
      </c>
      <c r="AU131" s="31"/>
      <c r="AV131" s="32"/>
      <c r="AW131" s="25"/>
      <c r="AX131" s="21" t="str">
        <f t="shared" si="43"/>
        <v/>
      </c>
      <c r="AY131" s="21" t="str">
        <f>IF(AX131="","",COUNTIF(AX$5:AX131,AX131))</f>
        <v/>
      </c>
    </row>
    <row r="132" spans="1:51" ht="15" customHeight="1" x14ac:dyDescent="0.25">
      <c r="A132" s="33" t="str">
        <f t="shared" si="33"/>
        <v/>
      </c>
      <c r="B132" s="34"/>
      <c r="C132" s="35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35"/>
      <c r="V132" s="37"/>
      <c r="W132" s="37"/>
      <c r="X132" s="38" t="str">
        <f t="shared" si="34"/>
        <v/>
      </c>
      <c r="Y132" s="39" t="str">
        <f t="shared" si="35"/>
        <v/>
      </c>
      <c r="Z132" s="37"/>
      <c r="AA132" s="37"/>
      <c r="AB132" s="37"/>
      <c r="AC132" s="38" t="str">
        <f t="shared" si="36"/>
        <v/>
      </c>
      <c r="AD132" s="37"/>
      <c r="AE132" s="36"/>
      <c r="AF132" s="36"/>
      <c r="AG132" s="40"/>
      <c r="AH132" s="36"/>
      <c r="AI132" s="40"/>
      <c r="AJ132" s="36"/>
      <c r="AK132" s="36"/>
      <c r="AL132" s="36"/>
      <c r="AM132" s="34"/>
      <c r="AN132" s="35"/>
      <c r="AO132" s="41" t="str">
        <f t="shared" si="37"/>
        <v/>
      </c>
      <c r="AP132" s="39" t="str">
        <f t="shared" si="38"/>
        <v/>
      </c>
      <c r="AQ132" s="39" t="str">
        <f t="shared" si="39"/>
        <v/>
      </c>
      <c r="AR132" s="39" t="str">
        <f t="shared" si="40"/>
        <v/>
      </c>
      <c r="AS132" s="39" t="str">
        <f t="shared" si="41"/>
        <v/>
      </c>
      <c r="AT132" s="33" t="str">
        <f t="shared" si="42"/>
        <v/>
      </c>
      <c r="AU132" s="31"/>
      <c r="AV132" s="32"/>
      <c r="AW132" s="36"/>
      <c r="AX132" s="21" t="str">
        <f t="shared" si="43"/>
        <v/>
      </c>
      <c r="AY132" s="21" t="str">
        <f>IF(AX132="","",COUNTIF(AX$5:AX132,AX132))</f>
        <v/>
      </c>
    </row>
    <row r="133" spans="1:51" ht="15" customHeight="1" x14ac:dyDescent="0.25">
      <c r="A133" s="22" t="str">
        <f t="shared" ref="A133:A164" si="44">IF(B133&lt;&gt;"","INC-"&amp;TEXT(ROW()-4,"0000"),"")</f>
        <v/>
      </c>
      <c r="B133" s="23"/>
      <c r="C133" s="24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3"/>
      <c r="U133" s="24"/>
      <c r="V133" s="26"/>
      <c r="W133" s="26"/>
      <c r="X133" s="27" t="str">
        <f t="shared" ref="X133:X164" si="45">IF(OR(V133&lt;&gt;"",W133&lt;&gt;""),IF(V133="",0,V133)+IF(W133="",0,W133),"")</f>
        <v/>
      </c>
      <c r="Y133" s="28" t="str">
        <f t="shared" ref="Y133:Y164" si="46">IF(X133&lt;&gt;"",X133*0.33,"")</f>
        <v/>
      </c>
      <c r="Z133" s="26"/>
      <c r="AA133" s="26"/>
      <c r="AB133" s="26"/>
      <c r="AC133" s="27" t="str">
        <f t="shared" ref="AC133:AC164" si="47">IF(OR(Z133&lt;&gt;"",AB133&lt;&gt;""),IF(Z133="",0,Z133)+IF(AB133="",0,AB133),"")</f>
        <v/>
      </c>
      <c r="AD133" s="26"/>
      <c r="AE133" s="25"/>
      <c r="AF133" s="25"/>
      <c r="AG133" s="29"/>
      <c r="AH133" s="25"/>
      <c r="AI133" s="29"/>
      <c r="AJ133" s="25"/>
      <c r="AK133" s="25"/>
      <c r="AL133" s="25"/>
      <c r="AM133" s="23"/>
      <c r="AN133" s="24"/>
      <c r="AO133" s="30" t="str">
        <f t="shared" ref="AO133:AO164" si="48">IFERROR(IF(AND(AM133&lt;&gt;"",B133&lt;&gt;""),((AM133+AN133)-(B133+C133))*24,""),"")</f>
        <v/>
      </c>
      <c r="AP133" s="28" t="str">
        <f t="shared" ref="AP133:AP164" si="49">IF(S133="","",IF(S133="Juan Manuel",18.9,IF(S133="Juan Luis",17.5,IF(S133="Raúl",15.8,IF(S133="Adrián",13.5,IF(S133="Paco",13.5,""))))))</f>
        <v/>
      </c>
      <c r="AQ133" s="28" t="str">
        <f t="shared" ref="AQ133:AQ164" si="50">IFERROR(IF(AND(AC133&lt;&gt;"",AP133&lt;&gt;""),(AC133/60)*AP133,""),"")</f>
        <v/>
      </c>
      <c r="AR133" s="28" t="str">
        <f t="shared" ref="AR133:AR164" si="51">IF(Y133&lt;&gt;"",Y133,"")</f>
        <v/>
      </c>
      <c r="AS133" s="28" t="str">
        <f t="shared" ref="AS133:AS164" si="52">IFERROR(IF(OR(AQ133&lt;&gt;"",AG133&lt;&gt;"",AR133&lt;&gt;""),IF(AQ133="",0,AQ133)+IF(AG133="",0,AG133)+IF(AR133="",0,AR133),""),"")</f>
        <v/>
      </c>
      <c r="AT133" s="22" t="str">
        <f t="shared" ref="AT133:AT164" si="53">IF(AS133="","",IF(AS133&gt;150,"⚠️ REVISAR",IF(AS133&gt;80,"⚡ ATENCIÓN","✅ OK")))</f>
        <v/>
      </c>
      <c r="AU133" s="31"/>
      <c r="AV133" s="32"/>
      <c r="AW133" s="25"/>
      <c r="AX133" s="21" t="str">
        <f t="shared" ref="AX133:AX164" si="54">IF(OR(S133="",T133=""),"",S133&amp;TEXT(T133,"YYYYMMDD"))</f>
        <v/>
      </c>
      <c r="AY133" s="21" t="str">
        <f>IF(AX133="","",COUNTIF(AX$5:AX133,AX133))</f>
        <v/>
      </c>
    </row>
    <row r="134" spans="1:51" ht="15" customHeight="1" x14ac:dyDescent="0.25">
      <c r="A134" s="33" t="str">
        <f t="shared" si="44"/>
        <v/>
      </c>
      <c r="B134" s="34"/>
      <c r="C134" s="35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4"/>
      <c r="U134" s="35"/>
      <c r="V134" s="37"/>
      <c r="W134" s="37"/>
      <c r="X134" s="38" t="str">
        <f t="shared" si="45"/>
        <v/>
      </c>
      <c r="Y134" s="39" t="str">
        <f t="shared" si="46"/>
        <v/>
      </c>
      <c r="Z134" s="37"/>
      <c r="AA134" s="37"/>
      <c r="AB134" s="37"/>
      <c r="AC134" s="38" t="str">
        <f t="shared" si="47"/>
        <v/>
      </c>
      <c r="AD134" s="37"/>
      <c r="AE134" s="36"/>
      <c r="AF134" s="36"/>
      <c r="AG134" s="40"/>
      <c r="AH134" s="36"/>
      <c r="AI134" s="40"/>
      <c r="AJ134" s="36"/>
      <c r="AK134" s="36"/>
      <c r="AL134" s="36"/>
      <c r="AM134" s="34"/>
      <c r="AN134" s="35"/>
      <c r="AO134" s="41" t="str">
        <f t="shared" si="48"/>
        <v/>
      </c>
      <c r="AP134" s="39" t="str">
        <f t="shared" si="49"/>
        <v/>
      </c>
      <c r="AQ134" s="39" t="str">
        <f t="shared" si="50"/>
        <v/>
      </c>
      <c r="AR134" s="39" t="str">
        <f t="shared" si="51"/>
        <v/>
      </c>
      <c r="AS134" s="39" t="str">
        <f t="shared" si="52"/>
        <v/>
      </c>
      <c r="AT134" s="33" t="str">
        <f t="shared" si="53"/>
        <v/>
      </c>
      <c r="AU134" s="31"/>
      <c r="AV134" s="32"/>
      <c r="AW134" s="36"/>
      <c r="AX134" s="21" t="str">
        <f t="shared" si="54"/>
        <v/>
      </c>
      <c r="AY134" s="21" t="str">
        <f>IF(AX134="","",COUNTIF(AX$5:AX134,AX134))</f>
        <v/>
      </c>
    </row>
    <row r="135" spans="1:51" ht="15" customHeight="1" x14ac:dyDescent="0.25">
      <c r="A135" s="22" t="str">
        <f t="shared" si="44"/>
        <v/>
      </c>
      <c r="B135" s="23"/>
      <c r="C135" s="24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3"/>
      <c r="U135" s="24"/>
      <c r="V135" s="26"/>
      <c r="W135" s="26"/>
      <c r="X135" s="27" t="str">
        <f t="shared" si="45"/>
        <v/>
      </c>
      <c r="Y135" s="28" t="str">
        <f t="shared" si="46"/>
        <v/>
      </c>
      <c r="Z135" s="26"/>
      <c r="AA135" s="26"/>
      <c r="AB135" s="26"/>
      <c r="AC135" s="27" t="str">
        <f t="shared" si="47"/>
        <v/>
      </c>
      <c r="AD135" s="26"/>
      <c r="AE135" s="25"/>
      <c r="AF135" s="25"/>
      <c r="AG135" s="29"/>
      <c r="AH135" s="25"/>
      <c r="AI135" s="29"/>
      <c r="AJ135" s="25"/>
      <c r="AK135" s="25"/>
      <c r="AL135" s="25"/>
      <c r="AM135" s="23"/>
      <c r="AN135" s="24"/>
      <c r="AO135" s="30" t="str">
        <f t="shared" si="48"/>
        <v/>
      </c>
      <c r="AP135" s="28" t="str">
        <f t="shared" si="49"/>
        <v/>
      </c>
      <c r="AQ135" s="28" t="str">
        <f t="shared" si="50"/>
        <v/>
      </c>
      <c r="AR135" s="28" t="str">
        <f t="shared" si="51"/>
        <v/>
      </c>
      <c r="AS135" s="28" t="str">
        <f t="shared" si="52"/>
        <v/>
      </c>
      <c r="AT135" s="22" t="str">
        <f t="shared" si="53"/>
        <v/>
      </c>
      <c r="AU135" s="31"/>
      <c r="AV135" s="32"/>
      <c r="AW135" s="25"/>
      <c r="AX135" s="21" t="str">
        <f t="shared" si="54"/>
        <v/>
      </c>
      <c r="AY135" s="21" t="str">
        <f>IF(AX135="","",COUNTIF(AX$5:AX135,AX135))</f>
        <v/>
      </c>
    </row>
    <row r="136" spans="1:51" ht="15" customHeight="1" x14ac:dyDescent="0.25">
      <c r="A136" s="33" t="str">
        <f t="shared" si="44"/>
        <v/>
      </c>
      <c r="B136" s="34"/>
      <c r="C136" s="35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4"/>
      <c r="U136" s="35"/>
      <c r="V136" s="37"/>
      <c r="W136" s="37"/>
      <c r="X136" s="38" t="str">
        <f t="shared" si="45"/>
        <v/>
      </c>
      <c r="Y136" s="39" t="str">
        <f t="shared" si="46"/>
        <v/>
      </c>
      <c r="Z136" s="37"/>
      <c r="AA136" s="37"/>
      <c r="AB136" s="37"/>
      <c r="AC136" s="38" t="str">
        <f t="shared" si="47"/>
        <v/>
      </c>
      <c r="AD136" s="37"/>
      <c r="AE136" s="36"/>
      <c r="AF136" s="36"/>
      <c r="AG136" s="40"/>
      <c r="AH136" s="36"/>
      <c r="AI136" s="40"/>
      <c r="AJ136" s="36"/>
      <c r="AK136" s="36"/>
      <c r="AL136" s="36"/>
      <c r="AM136" s="34"/>
      <c r="AN136" s="35"/>
      <c r="AO136" s="41" t="str">
        <f t="shared" si="48"/>
        <v/>
      </c>
      <c r="AP136" s="39" t="str">
        <f t="shared" si="49"/>
        <v/>
      </c>
      <c r="AQ136" s="39" t="str">
        <f t="shared" si="50"/>
        <v/>
      </c>
      <c r="AR136" s="39" t="str">
        <f t="shared" si="51"/>
        <v/>
      </c>
      <c r="AS136" s="39" t="str">
        <f t="shared" si="52"/>
        <v/>
      </c>
      <c r="AT136" s="33" t="str">
        <f t="shared" si="53"/>
        <v/>
      </c>
      <c r="AU136" s="31"/>
      <c r="AV136" s="32"/>
      <c r="AW136" s="36"/>
      <c r="AX136" s="21" t="str">
        <f t="shared" si="54"/>
        <v/>
      </c>
      <c r="AY136" s="21" t="str">
        <f>IF(AX136="","",COUNTIF(AX$5:AX136,AX136))</f>
        <v/>
      </c>
    </row>
    <row r="137" spans="1:51" ht="15" customHeight="1" x14ac:dyDescent="0.25">
      <c r="A137" s="22" t="str">
        <f t="shared" si="44"/>
        <v/>
      </c>
      <c r="B137" s="23"/>
      <c r="C137" s="24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3"/>
      <c r="U137" s="24"/>
      <c r="V137" s="26"/>
      <c r="W137" s="26"/>
      <c r="X137" s="27" t="str">
        <f t="shared" si="45"/>
        <v/>
      </c>
      <c r="Y137" s="28" t="str">
        <f t="shared" si="46"/>
        <v/>
      </c>
      <c r="Z137" s="26"/>
      <c r="AA137" s="26"/>
      <c r="AB137" s="26"/>
      <c r="AC137" s="27" t="str">
        <f t="shared" si="47"/>
        <v/>
      </c>
      <c r="AD137" s="26"/>
      <c r="AE137" s="25"/>
      <c r="AF137" s="25"/>
      <c r="AG137" s="29"/>
      <c r="AH137" s="25"/>
      <c r="AI137" s="29"/>
      <c r="AJ137" s="25"/>
      <c r="AK137" s="25"/>
      <c r="AL137" s="25"/>
      <c r="AM137" s="23"/>
      <c r="AN137" s="24"/>
      <c r="AO137" s="30" t="str">
        <f t="shared" si="48"/>
        <v/>
      </c>
      <c r="AP137" s="28" t="str">
        <f t="shared" si="49"/>
        <v/>
      </c>
      <c r="AQ137" s="28" t="str">
        <f t="shared" si="50"/>
        <v/>
      </c>
      <c r="AR137" s="28" t="str">
        <f t="shared" si="51"/>
        <v/>
      </c>
      <c r="AS137" s="28" t="str">
        <f t="shared" si="52"/>
        <v/>
      </c>
      <c r="AT137" s="22" t="str">
        <f t="shared" si="53"/>
        <v/>
      </c>
      <c r="AU137" s="31"/>
      <c r="AV137" s="32"/>
      <c r="AW137" s="25"/>
      <c r="AX137" s="21" t="str">
        <f t="shared" si="54"/>
        <v/>
      </c>
      <c r="AY137" s="21" t="str">
        <f>IF(AX137="","",COUNTIF(AX$5:AX137,AX137))</f>
        <v/>
      </c>
    </row>
    <row r="138" spans="1:51" ht="15" customHeight="1" x14ac:dyDescent="0.25">
      <c r="A138" s="33" t="str">
        <f t="shared" si="44"/>
        <v/>
      </c>
      <c r="B138" s="34"/>
      <c r="C138" s="35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4"/>
      <c r="U138" s="35"/>
      <c r="V138" s="37"/>
      <c r="W138" s="37"/>
      <c r="X138" s="38" t="str">
        <f t="shared" si="45"/>
        <v/>
      </c>
      <c r="Y138" s="39" t="str">
        <f t="shared" si="46"/>
        <v/>
      </c>
      <c r="Z138" s="37"/>
      <c r="AA138" s="37"/>
      <c r="AB138" s="37"/>
      <c r="AC138" s="38" t="str">
        <f t="shared" si="47"/>
        <v/>
      </c>
      <c r="AD138" s="37"/>
      <c r="AE138" s="36"/>
      <c r="AF138" s="36"/>
      <c r="AG138" s="40"/>
      <c r="AH138" s="36"/>
      <c r="AI138" s="40"/>
      <c r="AJ138" s="36"/>
      <c r="AK138" s="36"/>
      <c r="AL138" s="36"/>
      <c r="AM138" s="34"/>
      <c r="AN138" s="35"/>
      <c r="AO138" s="41" t="str">
        <f t="shared" si="48"/>
        <v/>
      </c>
      <c r="AP138" s="39" t="str">
        <f t="shared" si="49"/>
        <v/>
      </c>
      <c r="AQ138" s="39" t="str">
        <f t="shared" si="50"/>
        <v/>
      </c>
      <c r="AR138" s="39" t="str">
        <f t="shared" si="51"/>
        <v/>
      </c>
      <c r="AS138" s="39" t="str">
        <f t="shared" si="52"/>
        <v/>
      </c>
      <c r="AT138" s="33" t="str">
        <f t="shared" si="53"/>
        <v/>
      </c>
      <c r="AU138" s="31"/>
      <c r="AV138" s="32"/>
      <c r="AW138" s="36"/>
      <c r="AX138" s="21" t="str">
        <f t="shared" si="54"/>
        <v/>
      </c>
      <c r="AY138" s="21" t="str">
        <f>IF(AX138="","",COUNTIF(AX$5:AX138,AX138))</f>
        <v/>
      </c>
    </row>
    <row r="139" spans="1:51" ht="15" customHeight="1" x14ac:dyDescent="0.25">
      <c r="A139" s="22" t="str">
        <f t="shared" si="44"/>
        <v/>
      </c>
      <c r="B139" s="23"/>
      <c r="C139" s="24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3"/>
      <c r="U139" s="24"/>
      <c r="V139" s="26"/>
      <c r="W139" s="26"/>
      <c r="X139" s="27" t="str">
        <f t="shared" si="45"/>
        <v/>
      </c>
      <c r="Y139" s="28" t="str">
        <f t="shared" si="46"/>
        <v/>
      </c>
      <c r="Z139" s="26"/>
      <c r="AA139" s="26"/>
      <c r="AB139" s="26"/>
      <c r="AC139" s="27" t="str">
        <f t="shared" si="47"/>
        <v/>
      </c>
      <c r="AD139" s="26"/>
      <c r="AE139" s="25"/>
      <c r="AF139" s="25"/>
      <c r="AG139" s="29"/>
      <c r="AH139" s="25"/>
      <c r="AI139" s="29"/>
      <c r="AJ139" s="25"/>
      <c r="AK139" s="25"/>
      <c r="AL139" s="25"/>
      <c r="AM139" s="23"/>
      <c r="AN139" s="24"/>
      <c r="AO139" s="30" t="str">
        <f t="shared" si="48"/>
        <v/>
      </c>
      <c r="AP139" s="28" t="str">
        <f t="shared" si="49"/>
        <v/>
      </c>
      <c r="AQ139" s="28" t="str">
        <f t="shared" si="50"/>
        <v/>
      </c>
      <c r="AR139" s="28" t="str">
        <f t="shared" si="51"/>
        <v/>
      </c>
      <c r="AS139" s="28" t="str">
        <f t="shared" si="52"/>
        <v/>
      </c>
      <c r="AT139" s="22" t="str">
        <f t="shared" si="53"/>
        <v/>
      </c>
      <c r="AU139" s="31"/>
      <c r="AV139" s="32"/>
      <c r="AW139" s="25"/>
      <c r="AX139" s="21" t="str">
        <f t="shared" si="54"/>
        <v/>
      </c>
      <c r="AY139" s="21" t="str">
        <f>IF(AX139="","",COUNTIF(AX$5:AX139,AX139))</f>
        <v/>
      </c>
    </row>
    <row r="140" spans="1:51" ht="15" customHeight="1" x14ac:dyDescent="0.25">
      <c r="A140" s="33" t="str">
        <f t="shared" si="44"/>
        <v/>
      </c>
      <c r="B140" s="34"/>
      <c r="C140" s="35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4"/>
      <c r="U140" s="35"/>
      <c r="V140" s="37"/>
      <c r="W140" s="37"/>
      <c r="X140" s="38" t="str">
        <f t="shared" si="45"/>
        <v/>
      </c>
      <c r="Y140" s="39" t="str">
        <f t="shared" si="46"/>
        <v/>
      </c>
      <c r="Z140" s="37"/>
      <c r="AA140" s="37"/>
      <c r="AB140" s="37"/>
      <c r="AC140" s="38" t="str">
        <f t="shared" si="47"/>
        <v/>
      </c>
      <c r="AD140" s="37"/>
      <c r="AE140" s="36"/>
      <c r="AF140" s="36"/>
      <c r="AG140" s="40"/>
      <c r="AH140" s="36"/>
      <c r="AI140" s="40"/>
      <c r="AJ140" s="36"/>
      <c r="AK140" s="36"/>
      <c r="AL140" s="36"/>
      <c r="AM140" s="34"/>
      <c r="AN140" s="35"/>
      <c r="AO140" s="41" t="str">
        <f t="shared" si="48"/>
        <v/>
      </c>
      <c r="AP140" s="39" t="str">
        <f t="shared" si="49"/>
        <v/>
      </c>
      <c r="AQ140" s="39" t="str">
        <f t="shared" si="50"/>
        <v/>
      </c>
      <c r="AR140" s="39" t="str">
        <f t="shared" si="51"/>
        <v/>
      </c>
      <c r="AS140" s="39" t="str">
        <f t="shared" si="52"/>
        <v/>
      </c>
      <c r="AT140" s="33" t="str">
        <f t="shared" si="53"/>
        <v/>
      </c>
      <c r="AU140" s="31"/>
      <c r="AV140" s="32"/>
      <c r="AW140" s="36"/>
      <c r="AX140" s="21" t="str">
        <f t="shared" si="54"/>
        <v/>
      </c>
      <c r="AY140" s="21" t="str">
        <f>IF(AX140="","",COUNTIF(AX$5:AX140,AX140))</f>
        <v/>
      </c>
    </row>
    <row r="141" spans="1:51" ht="15" customHeight="1" x14ac:dyDescent="0.25">
      <c r="A141" s="22" t="str">
        <f t="shared" si="44"/>
        <v/>
      </c>
      <c r="B141" s="23"/>
      <c r="C141" s="24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3"/>
      <c r="U141" s="24"/>
      <c r="V141" s="26"/>
      <c r="W141" s="26"/>
      <c r="X141" s="27" t="str">
        <f t="shared" si="45"/>
        <v/>
      </c>
      <c r="Y141" s="28" t="str">
        <f t="shared" si="46"/>
        <v/>
      </c>
      <c r="Z141" s="26"/>
      <c r="AA141" s="26"/>
      <c r="AB141" s="26"/>
      <c r="AC141" s="27" t="str">
        <f t="shared" si="47"/>
        <v/>
      </c>
      <c r="AD141" s="26"/>
      <c r="AE141" s="25"/>
      <c r="AF141" s="25"/>
      <c r="AG141" s="29"/>
      <c r="AH141" s="25"/>
      <c r="AI141" s="29"/>
      <c r="AJ141" s="25"/>
      <c r="AK141" s="25"/>
      <c r="AL141" s="25"/>
      <c r="AM141" s="23"/>
      <c r="AN141" s="24"/>
      <c r="AO141" s="30" t="str">
        <f t="shared" si="48"/>
        <v/>
      </c>
      <c r="AP141" s="28" t="str">
        <f t="shared" si="49"/>
        <v/>
      </c>
      <c r="AQ141" s="28" t="str">
        <f t="shared" si="50"/>
        <v/>
      </c>
      <c r="AR141" s="28" t="str">
        <f t="shared" si="51"/>
        <v/>
      </c>
      <c r="AS141" s="28" t="str">
        <f t="shared" si="52"/>
        <v/>
      </c>
      <c r="AT141" s="22" t="str">
        <f t="shared" si="53"/>
        <v/>
      </c>
      <c r="AU141" s="31"/>
      <c r="AV141" s="32"/>
      <c r="AW141" s="25"/>
      <c r="AX141" s="21" t="str">
        <f t="shared" si="54"/>
        <v/>
      </c>
      <c r="AY141" s="21" t="str">
        <f>IF(AX141="","",COUNTIF(AX$5:AX141,AX141))</f>
        <v/>
      </c>
    </row>
    <row r="142" spans="1:51" ht="15" customHeight="1" x14ac:dyDescent="0.25">
      <c r="A142" s="33" t="str">
        <f t="shared" si="44"/>
        <v/>
      </c>
      <c r="B142" s="34"/>
      <c r="C142" s="35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4"/>
      <c r="U142" s="35"/>
      <c r="V142" s="37"/>
      <c r="W142" s="37"/>
      <c r="X142" s="38" t="str">
        <f t="shared" si="45"/>
        <v/>
      </c>
      <c r="Y142" s="39" t="str">
        <f t="shared" si="46"/>
        <v/>
      </c>
      <c r="Z142" s="37"/>
      <c r="AA142" s="37"/>
      <c r="AB142" s="37"/>
      <c r="AC142" s="38" t="str">
        <f t="shared" si="47"/>
        <v/>
      </c>
      <c r="AD142" s="37"/>
      <c r="AE142" s="36"/>
      <c r="AF142" s="36"/>
      <c r="AG142" s="40"/>
      <c r="AH142" s="36"/>
      <c r="AI142" s="40"/>
      <c r="AJ142" s="36"/>
      <c r="AK142" s="36"/>
      <c r="AL142" s="36"/>
      <c r="AM142" s="34"/>
      <c r="AN142" s="35"/>
      <c r="AO142" s="41" t="str">
        <f t="shared" si="48"/>
        <v/>
      </c>
      <c r="AP142" s="39" t="str">
        <f t="shared" si="49"/>
        <v/>
      </c>
      <c r="AQ142" s="39" t="str">
        <f t="shared" si="50"/>
        <v/>
      </c>
      <c r="AR142" s="39" t="str">
        <f t="shared" si="51"/>
        <v/>
      </c>
      <c r="AS142" s="39" t="str">
        <f t="shared" si="52"/>
        <v/>
      </c>
      <c r="AT142" s="33" t="str">
        <f t="shared" si="53"/>
        <v/>
      </c>
      <c r="AU142" s="31"/>
      <c r="AV142" s="32"/>
      <c r="AW142" s="36"/>
      <c r="AX142" s="21" t="str">
        <f t="shared" si="54"/>
        <v/>
      </c>
      <c r="AY142" s="21" t="str">
        <f>IF(AX142="","",COUNTIF(AX$5:AX142,AX142))</f>
        <v/>
      </c>
    </row>
    <row r="143" spans="1:51" ht="15" customHeight="1" x14ac:dyDescent="0.25">
      <c r="A143" s="22" t="str">
        <f t="shared" si="44"/>
        <v/>
      </c>
      <c r="B143" s="23"/>
      <c r="C143" s="24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3"/>
      <c r="U143" s="24"/>
      <c r="V143" s="26"/>
      <c r="W143" s="26"/>
      <c r="X143" s="27" t="str">
        <f t="shared" si="45"/>
        <v/>
      </c>
      <c r="Y143" s="28" t="str">
        <f t="shared" si="46"/>
        <v/>
      </c>
      <c r="Z143" s="26"/>
      <c r="AA143" s="26"/>
      <c r="AB143" s="26"/>
      <c r="AC143" s="27" t="str">
        <f t="shared" si="47"/>
        <v/>
      </c>
      <c r="AD143" s="26"/>
      <c r="AE143" s="25"/>
      <c r="AF143" s="25"/>
      <c r="AG143" s="29"/>
      <c r="AH143" s="25"/>
      <c r="AI143" s="29"/>
      <c r="AJ143" s="25"/>
      <c r="AK143" s="25"/>
      <c r="AL143" s="25"/>
      <c r="AM143" s="23"/>
      <c r="AN143" s="24"/>
      <c r="AO143" s="30" t="str">
        <f t="shared" si="48"/>
        <v/>
      </c>
      <c r="AP143" s="28" t="str">
        <f t="shared" si="49"/>
        <v/>
      </c>
      <c r="AQ143" s="28" t="str">
        <f t="shared" si="50"/>
        <v/>
      </c>
      <c r="AR143" s="28" t="str">
        <f t="shared" si="51"/>
        <v/>
      </c>
      <c r="AS143" s="28" t="str">
        <f t="shared" si="52"/>
        <v/>
      </c>
      <c r="AT143" s="22" t="str">
        <f t="shared" si="53"/>
        <v/>
      </c>
      <c r="AU143" s="31"/>
      <c r="AV143" s="32"/>
      <c r="AW143" s="25"/>
      <c r="AX143" s="21" t="str">
        <f t="shared" si="54"/>
        <v/>
      </c>
      <c r="AY143" s="21" t="str">
        <f>IF(AX143="","",COUNTIF(AX$5:AX143,AX143))</f>
        <v/>
      </c>
    </row>
    <row r="144" spans="1:51" ht="15" customHeight="1" x14ac:dyDescent="0.25">
      <c r="A144" s="33" t="str">
        <f t="shared" si="44"/>
        <v/>
      </c>
      <c r="B144" s="34"/>
      <c r="C144" s="35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4"/>
      <c r="U144" s="35"/>
      <c r="V144" s="37"/>
      <c r="W144" s="37"/>
      <c r="X144" s="38" t="str">
        <f t="shared" si="45"/>
        <v/>
      </c>
      <c r="Y144" s="39" t="str">
        <f t="shared" si="46"/>
        <v/>
      </c>
      <c r="Z144" s="37"/>
      <c r="AA144" s="37"/>
      <c r="AB144" s="37"/>
      <c r="AC144" s="38" t="str">
        <f t="shared" si="47"/>
        <v/>
      </c>
      <c r="AD144" s="37"/>
      <c r="AE144" s="36"/>
      <c r="AF144" s="36"/>
      <c r="AG144" s="40"/>
      <c r="AH144" s="36"/>
      <c r="AI144" s="40"/>
      <c r="AJ144" s="36"/>
      <c r="AK144" s="36"/>
      <c r="AL144" s="36"/>
      <c r="AM144" s="34"/>
      <c r="AN144" s="35"/>
      <c r="AO144" s="41" t="str">
        <f t="shared" si="48"/>
        <v/>
      </c>
      <c r="AP144" s="39" t="str">
        <f t="shared" si="49"/>
        <v/>
      </c>
      <c r="AQ144" s="39" t="str">
        <f t="shared" si="50"/>
        <v/>
      </c>
      <c r="AR144" s="39" t="str">
        <f t="shared" si="51"/>
        <v/>
      </c>
      <c r="AS144" s="39" t="str">
        <f t="shared" si="52"/>
        <v/>
      </c>
      <c r="AT144" s="33" t="str">
        <f t="shared" si="53"/>
        <v/>
      </c>
      <c r="AU144" s="31"/>
      <c r="AV144" s="32"/>
      <c r="AW144" s="36"/>
      <c r="AX144" s="21" t="str">
        <f t="shared" si="54"/>
        <v/>
      </c>
      <c r="AY144" s="21" t="str">
        <f>IF(AX144="","",COUNTIF(AX$5:AX144,AX144))</f>
        <v/>
      </c>
    </row>
    <row r="145" spans="1:51" ht="15" customHeight="1" x14ac:dyDescent="0.25">
      <c r="A145" s="22" t="str">
        <f t="shared" si="44"/>
        <v/>
      </c>
      <c r="B145" s="23"/>
      <c r="C145" s="24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3"/>
      <c r="U145" s="24"/>
      <c r="V145" s="26"/>
      <c r="W145" s="26"/>
      <c r="X145" s="27" t="str">
        <f t="shared" si="45"/>
        <v/>
      </c>
      <c r="Y145" s="28" t="str">
        <f t="shared" si="46"/>
        <v/>
      </c>
      <c r="Z145" s="26"/>
      <c r="AA145" s="26"/>
      <c r="AB145" s="26"/>
      <c r="AC145" s="27" t="str">
        <f t="shared" si="47"/>
        <v/>
      </c>
      <c r="AD145" s="26"/>
      <c r="AE145" s="25"/>
      <c r="AF145" s="25"/>
      <c r="AG145" s="29"/>
      <c r="AH145" s="25"/>
      <c r="AI145" s="29"/>
      <c r="AJ145" s="25"/>
      <c r="AK145" s="25"/>
      <c r="AL145" s="25"/>
      <c r="AM145" s="23"/>
      <c r="AN145" s="24"/>
      <c r="AO145" s="30" t="str">
        <f t="shared" si="48"/>
        <v/>
      </c>
      <c r="AP145" s="28" t="str">
        <f t="shared" si="49"/>
        <v/>
      </c>
      <c r="AQ145" s="28" t="str">
        <f t="shared" si="50"/>
        <v/>
      </c>
      <c r="AR145" s="28" t="str">
        <f t="shared" si="51"/>
        <v/>
      </c>
      <c r="AS145" s="28" t="str">
        <f t="shared" si="52"/>
        <v/>
      </c>
      <c r="AT145" s="22" t="str">
        <f t="shared" si="53"/>
        <v/>
      </c>
      <c r="AU145" s="31"/>
      <c r="AV145" s="32"/>
      <c r="AW145" s="25"/>
      <c r="AX145" s="21" t="str">
        <f t="shared" si="54"/>
        <v/>
      </c>
      <c r="AY145" s="21" t="str">
        <f>IF(AX145="","",COUNTIF(AX$5:AX145,AX145))</f>
        <v/>
      </c>
    </row>
    <row r="146" spans="1:51" ht="15" customHeight="1" x14ac:dyDescent="0.25">
      <c r="A146" s="33" t="str">
        <f t="shared" si="44"/>
        <v/>
      </c>
      <c r="B146" s="34"/>
      <c r="C146" s="35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4"/>
      <c r="U146" s="35"/>
      <c r="V146" s="37"/>
      <c r="W146" s="37"/>
      <c r="X146" s="38" t="str">
        <f t="shared" si="45"/>
        <v/>
      </c>
      <c r="Y146" s="39" t="str">
        <f t="shared" si="46"/>
        <v/>
      </c>
      <c r="Z146" s="37"/>
      <c r="AA146" s="37"/>
      <c r="AB146" s="37"/>
      <c r="AC146" s="38" t="str">
        <f t="shared" si="47"/>
        <v/>
      </c>
      <c r="AD146" s="37"/>
      <c r="AE146" s="36"/>
      <c r="AF146" s="36"/>
      <c r="AG146" s="40"/>
      <c r="AH146" s="36"/>
      <c r="AI146" s="40"/>
      <c r="AJ146" s="36"/>
      <c r="AK146" s="36"/>
      <c r="AL146" s="36"/>
      <c r="AM146" s="34"/>
      <c r="AN146" s="35"/>
      <c r="AO146" s="41" t="str">
        <f t="shared" si="48"/>
        <v/>
      </c>
      <c r="AP146" s="39" t="str">
        <f t="shared" si="49"/>
        <v/>
      </c>
      <c r="AQ146" s="39" t="str">
        <f t="shared" si="50"/>
        <v/>
      </c>
      <c r="AR146" s="39" t="str">
        <f t="shared" si="51"/>
        <v/>
      </c>
      <c r="AS146" s="39" t="str">
        <f t="shared" si="52"/>
        <v/>
      </c>
      <c r="AT146" s="33" t="str">
        <f t="shared" si="53"/>
        <v/>
      </c>
      <c r="AU146" s="31"/>
      <c r="AV146" s="32"/>
      <c r="AW146" s="36"/>
      <c r="AX146" s="21" t="str">
        <f t="shared" si="54"/>
        <v/>
      </c>
      <c r="AY146" s="21" t="str">
        <f>IF(AX146="","",COUNTIF(AX$5:AX146,AX146))</f>
        <v/>
      </c>
    </row>
    <row r="147" spans="1:51" ht="15" customHeight="1" x14ac:dyDescent="0.25">
      <c r="A147" s="22" t="str">
        <f t="shared" si="44"/>
        <v/>
      </c>
      <c r="B147" s="23"/>
      <c r="C147" s="24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3"/>
      <c r="U147" s="24"/>
      <c r="V147" s="26"/>
      <c r="W147" s="26"/>
      <c r="X147" s="27" t="str">
        <f t="shared" si="45"/>
        <v/>
      </c>
      <c r="Y147" s="28" t="str">
        <f t="shared" si="46"/>
        <v/>
      </c>
      <c r="Z147" s="26"/>
      <c r="AA147" s="26"/>
      <c r="AB147" s="26"/>
      <c r="AC147" s="27" t="str">
        <f t="shared" si="47"/>
        <v/>
      </c>
      <c r="AD147" s="26"/>
      <c r="AE147" s="25"/>
      <c r="AF147" s="25"/>
      <c r="AG147" s="29"/>
      <c r="AH147" s="25"/>
      <c r="AI147" s="29"/>
      <c r="AJ147" s="25"/>
      <c r="AK147" s="25"/>
      <c r="AL147" s="25"/>
      <c r="AM147" s="23"/>
      <c r="AN147" s="24"/>
      <c r="AO147" s="30" t="str">
        <f t="shared" si="48"/>
        <v/>
      </c>
      <c r="AP147" s="28" t="str">
        <f t="shared" si="49"/>
        <v/>
      </c>
      <c r="AQ147" s="28" t="str">
        <f t="shared" si="50"/>
        <v/>
      </c>
      <c r="AR147" s="28" t="str">
        <f t="shared" si="51"/>
        <v/>
      </c>
      <c r="AS147" s="28" t="str">
        <f t="shared" si="52"/>
        <v/>
      </c>
      <c r="AT147" s="22" t="str">
        <f t="shared" si="53"/>
        <v/>
      </c>
      <c r="AU147" s="31"/>
      <c r="AV147" s="32"/>
      <c r="AW147" s="25"/>
      <c r="AX147" s="21" t="str">
        <f t="shared" si="54"/>
        <v/>
      </c>
      <c r="AY147" s="21" t="str">
        <f>IF(AX147="","",COUNTIF(AX$5:AX147,AX147))</f>
        <v/>
      </c>
    </row>
    <row r="148" spans="1:51" ht="15" customHeight="1" x14ac:dyDescent="0.25">
      <c r="A148" s="33" t="str">
        <f t="shared" si="44"/>
        <v/>
      </c>
      <c r="B148" s="34"/>
      <c r="C148" s="35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4"/>
      <c r="U148" s="35"/>
      <c r="V148" s="37"/>
      <c r="W148" s="37"/>
      <c r="X148" s="38" t="str">
        <f t="shared" si="45"/>
        <v/>
      </c>
      <c r="Y148" s="39" t="str">
        <f t="shared" si="46"/>
        <v/>
      </c>
      <c r="Z148" s="37"/>
      <c r="AA148" s="37"/>
      <c r="AB148" s="37"/>
      <c r="AC148" s="38" t="str">
        <f t="shared" si="47"/>
        <v/>
      </c>
      <c r="AD148" s="37"/>
      <c r="AE148" s="36"/>
      <c r="AF148" s="36"/>
      <c r="AG148" s="40"/>
      <c r="AH148" s="36"/>
      <c r="AI148" s="40"/>
      <c r="AJ148" s="36"/>
      <c r="AK148" s="36"/>
      <c r="AL148" s="36"/>
      <c r="AM148" s="34"/>
      <c r="AN148" s="35"/>
      <c r="AO148" s="41" t="str">
        <f t="shared" si="48"/>
        <v/>
      </c>
      <c r="AP148" s="39" t="str">
        <f t="shared" si="49"/>
        <v/>
      </c>
      <c r="AQ148" s="39" t="str">
        <f t="shared" si="50"/>
        <v/>
      </c>
      <c r="AR148" s="39" t="str">
        <f t="shared" si="51"/>
        <v/>
      </c>
      <c r="AS148" s="39" t="str">
        <f t="shared" si="52"/>
        <v/>
      </c>
      <c r="AT148" s="33" t="str">
        <f t="shared" si="53"/>
        <v/>
      </c>
      <c r="AU148" s="31"/>
      <c r="AV148" s="32"/>
      <c r="AW148" s="36"/>
      <c r="AX148" s="21" t="str">
        <f t="shared" si="54"/>
        <v/>
      </c>
      <c r="AY148" s="21" t="str">
        <f>IF(AX148="","",COUNTIF(AX$5:AX148,AX148))</f>
        <v/>
      </c>
    </row>
    <row r="149" spans="1:51" ht="15" customHeight="1" x14ac:dyDescent="0.25">
      <c r="A149" s="22" t="str">
        <f t="shared" si="44"/>
        <v/>
      </c>
      <c r="B149" s="23"/>
      <c r="C149" s="24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3"/>
      <c r="U149" s="24"/>
      <c r="V149" s="26"/>
      <c r="W149" s="26"/>
      <c r="X149" s="27" t="str">
        <f t="shared" si="45"/>
        <v/>
      </c>
      <c r="Y149" s="28" t="str">
        <f t="shared" si="46"/>
        <v/>
      </c>
      <c r="Z149" s="26"/>
      <c r="AA149" s="26"/>
      <c r="AB149" s="26"/>
      <c r="AC149" s="27" t="str">
        <f t="shared" si="47"/>
        <v/>
      </c>
      <c r="AD149" s="26"/>
      <c r="AE149" s="25"/>
      <c r="AF149" s="25"/>
      <c r="AG149" s="29"/>
      <c r="AH149" s="25"/>
      <c r="AI149" s="29"/>
      <c r="AJ149" s="25"/>
      <c r="AK149" s="25"/>
      <c r="AL149" s="25"/>
      <c r="AM149" s="23"/>
      <c r="AN149" s="24"/>
      <c r="AO149" s="30" t="str">
        <f t="shared" si="48"/>
        <v/>
      </c>
      <c r="AP149" s="28" t="str">
        <f t="shared" si="49"/>
        <v/>
      </c>
      <c r="AQ149" s="28" t="str">
        <f t="shared" si="50"/>
        <v/>
      </c>
      <c r="AR149" s="28" t="str">
        <f t="shared" si="51"/>
        <v/>
      </c>
      <c r="AS149" s="28" t="str">
        <f t="shared" si="52"/>
        <v/>
      </c>
      <c r="AT149" s="22" t="str">
        <f t="shared" si="53"/>
        <v/>
      </c>
      <c r="AU149" s="31"/>
      <c r="AV149" s="32"/>
      <c r="AW149" s="25"/>
      <c r="AX149" s="21" t="str">
        <f t="shared" si="54"/>
        <v/>
      </c>
      <c r="AY149" s="21" t="str">
        <f>IF(AX149="","",COUNTIF(AX$5:AX149,AX149))</f>
        <v/>
      </c>
    </row>
    <row r="150" spans="1:51" ht="15" customHeight="1" x14ac:dyDescent="0.25">
      <c r="A150" s="33" t="str">
        <f t="shared" si="44"/>
        <v/>
      </c>
      <c r="B150" s="34"/>
      <c r="C150" s="35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4"/>
      <c r="U150" s="35"/>
      <c r="V150" s="37"/>
      <c r="W150" s="37"/>
      <c r="X150" s="38" t="str">
        <f t="shared" si="45"/>
        <v/>
      </c>
      <c r="Y150" s="39" t="str">
        <f t="shared" si="46"/>
        <v/>
      </c>
      <c r="Z150" s="37"/>
      <c r="AA150" s="37"/>
      <c r="AB150" s="37"/>
      <c r="AC150" s="38" t="str">
        <f t="shared" si="47"/>
        <v/>
      </c>
      <c r="AD150" s="37"/>
      <c r="AE150" s="36"/>
      <c r="AF150" s="36"/>
      <c r="AG150" s="40"/>
      <c r="AH150" s="36"/>
      <c r="AI150" s="40"/>
      <c r="AJ150" s="36"/>
      <c r="AK150" s="36"/>
      <c r="AL150" s="36"/>
      <c r="AM150" s="34"/>
      <c r="AN150" s="35"/>
      <c r="AO150" s="41" t="str">
        <f t="shared" si="48"/>
        <v/>
      </c>
      <c r="AP150" s="39" t="str">
        <f t="shared" si="49"/>
        <v/>
      </c>
      <c r="AQ150" s="39" t="str">
        <f t="shared" si="50"/>
        <v/>
      </c>
      <c r="AR150" s="39" t="str">
        <f t="shared" si="51"/>
        <v/>
      </c>
      <c r="AS150" s="39" t="str">
        <f t="shared" si="52"/>
        <v/>
      </c>
      <c r="AT150" s="33" t="str">
        <f t="shared" si="53"/>
        <v/>
      </c>
      <c r="AU150" s="31"/>
      <c r="AV150" s="32"/>
      <c r="AW150" s="36"/>
      <c r="AX150" s="21" t="str">
        <f t="shared" si="54"/>
        <v/>
      </c>
      <c r="AY150" s="21" t="str">
        <f>IF(AX150="","",COUNTIF(AX$5:AX150,AX150))</f>
        <v/>
      </c>
    </row>
    <row r="151" spans="1:51" ht="15" customHeight="1" x14ac:dyDescent="0.25">
      <c r="A151" s="22" t="str">
        <f t="shared" si="44"/>
        <v/>
      </c>
      <c r="B151" s="23"/>
      <c r="C151" s="24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3"/>
      <c r="U151" s="24"/>
      <c r="V151" s="26"/>
      <c r="W151" s="26"/>
      <c r="X151" s="27" t="str">
        <f t="shared" si="45"/>
        <v/>
      </c>
      <c r="Y151" s="28" t="str">
        <f t="shared" si="46"/>
        <v/>
      </c>
      <c r="Z151" s="26"/>
      <c r="AA151" s="26"/>
      <c r="AB151" s="26"/>
      <c r="AC151" s="27" t="str">
        <f t="shared" si="47"/>
        <v/>
      </c>
      <c r="AD151" s="26"/>
      <c r="AE151" s="25"/>
      <c r="AF151" s="25"/>
      <c r="AG151" s="29"/>
      <c r="AH151" s="25"/>
      <c r="AI151" s="29"/>
      <c r="AJ151" s="25"/>
      <c r="AK151" s="25"/>
      <c r="AL151" s="25"/>
      <c r="AM151" s="23"/>
      <c r="AN151" s="24"/>
      <c r="AO151" s="30" t="str">
        <f t="shared" si="48"/>
        <v/>
      </c>
      <c r="AP151" s="28" t="str">
        <f t="shared" si="49"/>
        <v/>
      </c>
      <c r="AQ151" s="28" t="str">
        <f t="shared" si="50"/>
        <v/>
      </c>
      <c r="AR151" s="28" t="str">
        <f t="shared" si="51"/>
        <v/>
      </c>
      <c r="AS151" s="28" t="str">
        <f t="shared" si="52"/>
        <v/>
      </c>
      <c r="AT151" s="22" t="str">
        <f t="shared" si="53"/>
        <v/>
      </c>
      <c r="AU151" s="31"/>
      <c r="AV151" s="32"/>
      <c r="AW151" s="25"/>
      <c r="AX151" s="21" t="str">
        <f t="shared" si="54"/>
        <v/>
      </c>
      <c r="AY151" s="21" t="str">
        <f>IF(AX151="","",COUNTIF(AX$5:AX151,AX151))</f>
        <v/>
      </c>
    </row>
    <row r="152" spans="1:51" ht="15" customHeight="1" x14ac:dyDescent="0.25">
      <c r="A152" s="33" t="str">
        <f t="shared" si="44"/>
        <v/>
      </c>
      <c r="B152" s="34"/>
      <c r="C152" s="35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4"/>
      <c r="U152" s="35"/>
      <c r="V152" s="37"/>
      <c r="W152" s="37"/>
      <c r="X152" s="38" t="str">
        <f t="shared" si="45"/>
        <v/>
      </c>
      <c r="Y152" s="39" t="str">
        <f t="shared" si="46"/>
        <v/>
      </c>
      <c r="Z152" s="37"/>
      <c r="AA152" s="37"/>
      <c r="AB152" s="37"/>
      <c r="AC152" s="38" t="str">
        <f t="shared" si="47"/>
        <v/>
      </c>
      <c r="AD152" s="37"/>
      <c r="AE152" s="36"/>
      <c r="AF152" s="36"/>
      <c r="AG152" s="40"/>
      <c r="AH152" s="36"/>
      <c r="AI152" s="40"/>
      <c r="AJ152" s="36"/>
      <c r="AK152" s="36"/>
      <c r="AL152" s="36"/>
      <c r="AM152" s="34"/>
      <c r="AN152" s="35"/>
      <c r="AO152" s="41" t="str">
        <f t="shared" si="48"/>
        <v/>
      </c>
      <c r="AP152" s="39" t="str">
        <f t="shared" si="49"/>
        <v/>
      </c>
      <c r="AQ152" s="39" t="str">
        <f t="shared" si="50"/>
        <v/>
      </c>
      <c r="AR152" s="39" t="str">
        <f t="shared" si="51"/>
        <v/>
      </c>
      <c r="AS152" s="39" t="str">
        <f t="shared" si="52"/>
        <v/>
      </c>
      <c r="AT152" s="33" t="str">
        <f t="shared" si="53"/>
        <v/>
      </c>
      <c r="AU152" s="31"/>
      <c r="AV152" s="32"/>
      <c r="AW152" s="36"/>
      <c r="AX152" s="21" t="str">
        <f t="shared" si="54"/>
        <v/>
      </c>
      <c r="AY152" s="21" t="str">
        <f>IF(AX152="","",COUNTIF(AX$5:AX152,AX152))</f>
        <v/>
      </c>
    </row>
    <row r="153" spans="1:51" ht="15" customHeight="1" x14ac:dyDescent="0.25">
      <c r="A153" s="22" t="str">
        <f t="shared" si="44"/>
        <v/>
      </c>
      <c r="B153" s="23"/>
      <c r="C153" s="24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3"/>
      <c r="U153" s="24"/>
      <c r="V153" s="26"/>
      <c r="W153" s="26"/>
      <c r="X153" s="27" t="str">
        <f t="shared" si="45"/>
        <v/>
      </c>
      <c r="Y153" s="28" t="str">
        <f t="shared" si="46"/>
        <v/>
      </c>
      <c r="Z153" s="26"/>
      <c r="AA153" s="26"/>
      <c r="AB153" s="26"/>
      <c r="AC153" s="27" t="str">
        <f t="shared" si="47"/>
        <v/>
      </c>
      <c r="AD153" s="26"/>
      <c r="AE153" s="25"/>
      <c r="AF153" s="25"/>
      <c r="AG153" s="29"/>
      <c r="AH153" s="25"/>
      <c r="AI153" s="29"/>
      <c r="AJ153" s="25"/>
      <c r="AK153" s="25"/>
      <c r="AL153" s="25"/>
      <c r="AM153" s="23"/>
      <c r="AN153" s="24"/>
      <c r="AO153" s="30" t="str">
        <f t="shared" si="48"/>
        <v/>
      </c>
      <c r="AP153" s="28" t="str">
        <f t="shared" si="49"/>
        <v/>
      </c>
      <c r="AQ153" s="28" t="str">
        <f t="shared" si="50"/>
        <v/>
      </c>
      <c r="AR153" s="28" t="str">
        <f t="shared" si="51"/>
        <v/>
      </c>
      <c r="AS153" s="28" t="str">
        <f t="shared" si="52"/>
        <v/>
      </c>
      <c r="AT153" s="22" t="str">
        <f t="shared" si="53"/>
        <v/>
      </c>
      <c r="AU153" s="31"/>
      <c r="AV153" s="32"/>
      <c r="AW153" s="25"/>
      <c r="AX153" s="21" t="str">
        <f t="shared" si="54"/>
        <v/>
      </c>
      <c r="AY153" s="21" t="str">
        <f>IF(AX153="","",COUNTIF(AX$5:AX153,AX153))</f>
        <v/>
      </c>
    </row>
    <row r="154" spans="1:51" ht="15" customHeight="1" x14ac:dyDescent="0.25">
      <c r="A154" s="33" t="str">
        <f t="shared" si="44"/>
        <v/>
      </c>
      <c r="B154" s="34"/>
      <c r="C154" s="35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4"/>
      <c r="U154" s="35"/>
      <c r="V154" s="37"/>
      <c r="W154" s="37"/>
      <c r="X154" s="38" t="str">
        <f t="shared" si="45"/>
        <v/>
      </c>
      <c r="Y154" s="39" t="str">
        <f t="shared" si="46"/>
        <v/>
      </c>
      <c r="Z154" s="37"/>
      <c r="AA154" s="37"/>
      <c r="AB154" s="37"/>
      <c r="AC154" s="38" t="str">
        <f t="shared" si="47"/>
        <v/>
      </c>
      <c r="AD154" s="37"/>
      <c r="AE154" s="36"/>
      <c r="AF154" s="36"/>
      <c r="AG154" s="40"/>
      <c r="AH154" s="36"/>
      <c r="AI154" s="40"/>
      <c r="AJ154" s="36"/>
      <c r="AK154" s="36"/>
      <c r="AL154" s="36"/>
      <c r="AM154" s="34"/>
      <c r="AN154" s="35"/>
      <c r="AO154" s="41" t="str">
        <f t="shared" si="48"/>
        <v/>
      </c>
      <c r="AP154" s="39" t="str">
        <f t="shared" si="49"/>
        <v/>
      </c>
      <c r="AQ154" s="39" t="str">
        <f t="shared" si="50"/>
        <v/>
      </c>
      <c r="AR154" s="39" t="str">
        <f t="shared" si="51"/>
        <v/>
      </c>
      <c r="AS154" s="39" t="str">
        <f t="shared" si="52"/>
        <v/>
      </c>
      <c r="AT154" s="33" t="str">
        <f t="shared" si="53"/>
        <v/>
      </c>
      <c r="AU154" s="31"/>
      <c r="AV154" s="32"/>
      <c r="AW154" s="36"/>
      <c r="AX154" s="21" t="str">
        <f t="shared" si="54"/>
        <v/>
      </c>
      <c r="AY154" s="21" t="str">
        <f>IF(AX154="","",COUNTIF(AX$5:AX154,AX154))</f>
        <v/>
      </c>
    </row>
    <row r="155" spans="1:51" ht="15" customHeight="1" x14ac:dyDescent="0.25">
      <c r="A155" s="22" t="str">
        <f t="shared" si="44"/>
        <v/>
      </c>
      <c r="B155" s="23"/>
      <c r="C155" s="24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3"/>
      <c r="U155" s="24"/>
      <c r="V155" s="26"/>
      <c r="W155" s="26"/>
      <c r="X155" s="27" t="str">
        <f t="shared" si="45"/>
        <v/>
      </c>
      <c r="Y155" s="28" t="str">
        <f t="shared" si="46"/>
        <v/>
      </c>
      <c r="Z155" s="26"/>
      <c r="AA155" s="26"/>
      <c r="AB155" s="26"/>
      <c r="AC155" s="27" t="str">
        <f t="shared" si="47"/>
        <v/>
      </c>
      <c r="AD155" s="26"/>
      <c r="AE155" s="25"/>
      <c r="AF155" s="25"/>
      <c r="AG155" s="29"/>
      <c r="AH155" s="25"/>
      <c r="AI155" s="29"/>
      <c r="AJ155" s="25"/>
      <c r="AK155" s="25"/>
      <c r="AL155" s="25"/>
      <c r="AM155" s="23"/>
      <c r="AN155" s="24"/>
      <c r="AO155" s="30" t="str">
        <f t="shared" si="48"/>
        <v/>
      </c>
      <c r="AP155" s="28" t="str">
        <f t="shared" si="49"/>
        <v/>
      </c>
      <c r="AQ155" s="28" t="str">
        <f t="shared" si="50"/>
        <v/>
      </c>
      <c r="AR155" s="28" t="str">
        <f t="shared" si="51"/>
        <v/>
      </c>
      <c r="AS155" s="28" t="str">
        <f t="shared" si="52"/>
        <v/>
      </c>
      <c r="AT155" s="22" t="str">
        <f t="shared" si="53"/>
        <v/>
      </c>
      <c r="AU155" s="31"/>
      <c r="AV155" s="32"/>
      <c r="AW155" s="25"/>
      <c r="AX155" s="21" t="str">
        <f t="shared" si="54"/>
        <v/>
      </c>
      <c r="AY155" s="21" t="str">
        <f>IF(AX155="","",COUNTIF(AX$5:AX155,AX155))</f>
        <v/>
      </c>
    </row>
    <row r="156" spans="1:51" ht="15" customHeight="1" x14ac:dyDescent="0.25">
      <c r="A156" s="33" t="str">
        <f t="shared" si="44"/>
        <v/>
      </c>
      <c r="B156" s="34"/>
      <c r="C156" s="35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4"/>
      <c r="U156" s="35"/>
      <c r="V156" s="37"/>
      <c r="W156" s="37"/>
      <c r="X156" s="38" t="str">
        <f t="shared" si="45"/>
        <v/>
      </c>
      <c r="Y156" s="39" t="str">
        <f t="shared" si="46"/>
        <v/>
      </c>
      <c r="Z156" s="37"/>
      <c r="AA156" s="37"/>
      <c r="AB156" s="37"/>
      <c r="AC156" s="38" t="str">
        <f t="shared" si="47"/>
        <v/>
      </c>
      <c r="AD156" s="37"/>
      <c r="AE156" s="36"/>
      <c r="AF156" s="36"/>
      <c r="AG156" s="40"/>
      <c r="AH156" s="36"/>
      <c r="AI156" s="40"/>
      <c r="AJ156" s="36"/>
      <c r="AK156" s="36"/>
      <c r="AL156" s="36"/>
      <c r="AM156" s="34"/>
      <c r="AN156" s="35"/>
      <c r="AO156" s="41" t="str">
        <f t="shared" si="48"/>
        <v/>
      </c>
      <c r="AP156" s="39" t="str">
        <f t="shared" si="49"/>
        <v/>
      </c>
      <c r="AQ156" s="39" t="str">
        <f t="shared" si="50"/>
        <v/>
      </c>
      <c r="AR156" s="39" t="str">
        <f t="shared" si="51"/>
        <v/>
      </c>
      <c r="AS156" s="39" t="str">
        <f t="shared" si="52"/>
        <v/>
      </c>
      <c r="AT156" s="33" t="str">
        <f t="shared" si="53"/>
        <v/>
      </c>
      <c r="AU156" s="31"/>
      <c r="AV156" s="32"/>
      <c r="AW156" s="36"/>
      <c r="AX156" s="21" t="str">
        <f t="shared" si="54"/>
        <v/>
      </c>
      <c r="AY156" s="21" t="str">
        <f>IF(AX156="","",COUNTIF(AX$5:AX156,AX156))</f>
        <v/>
      </c>
    </row>
    <row r="157" spans="1:51" ht="15" customHeight="1" x14ac:dyDescent="0.25">
      <c r="A157" s="22" t="str">
        <f t="shared" si="44"/>
        <v/>
      </c>
      <c r="B157" s="23"/>
      <c r="C157" s="24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3"/>
      <c r="U157" s="24"/>
      <c r="V157" s="26"/>
      <c r="W157" s="26"/>
      <c r="X157" s="27" t="str">
        <f t="shared" si="45"/>
        <v/>
      </c>
      <c r="Y157" s="28" t="str">
        <f t="shared" si="46"/>
        <v/>
      </c>
      <c r="Z157" s="26"/>
      <c r="AA157" s="26"/>
      <c r="AB157" s="26"/>
      <c r="AC157" s="27" t="str">
        <f t="shared" si="47"/>
        <v/>
      </c>
      <c r="AD157" s="26"/>
      <c r="AE157" s="25"/>
      <c r="AF157" s="25"/>
      <c r="AG157" s="29"/>
      <c r="AH157" s="25"/>
      <c r="AI157" s="29"/>
      <c r="AJ157" s="25"/>
      <c r="AK157" s="25"/>
      <c r="AL157" s="25"/>
      <c r="AM157" s="23"/>
      <c r="AN157" s="24"/>
      <c r="AO157" s="30" t="str">
        <f t="shared" si="48"/>
        <v/>
      </c>
      <c r="AP157" s="28" t="str">
        <f t="shared" si="49"/>
        <v/>
      </c>
      <c r="AQ157" s="28" t="str">
        <f t="shared" si="50"/>
        <v/>
      </c>
      <c r="AR157" s="28" t="str">
        <f t="shared" si="51"/>
        <v/>
      </c>
      <c r="AS157" s="28" t="str">
        <f t="shared" si="52"/>
        <v/>
      </c>
      <c r="AT157" s="22" t="str">
        <f t="shared" si="53"/>
        <v/>
      </c>
      <c r="AU157" s="31"/>
      <c r="AV157" s="32"/>
      <c r="AW157" s="25"/>
      <c r="AX157" s="21" t="str">
        <f t="shared" si="54"/>
        <v/>
      </c>
      <c r="AY157" s="21" t="str">
        <f>IF(AX157="","",COUNTIF(AX$5:AX157,AX157))</f>
        <v/>
      </c>
    </row>
    <row r="158" spans="1:51" ht="15" customHeight="1" x14ac:dyDescent="0.25">
      <c r="A158" s="33" t="str">
        <f t="shared" si="44"/>
        <v/>
      </c>
      <c r="B158" s="34"/>
      <c r="C158" s="35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4"/>
      <c r="U158" s="35"/>
      <c r="V158" s="37"/>
      <c r="W158" s="37"/>
      <c r="X158" s="38" t="str">
        <f t="shared" si="45"/>
        <v/>
      </c>
      <c r="Y158" s="39" t="str">
        <f t="shared" si="46"/>
        <v/>
      </c>
      <c r="Z158" s="37"/>
      <c r="AA158" s="37"/>
      <c r="AB158" s="37"/>
      <c r="AC158" s="38" t="str">
        <f t="shared" si="47"/>
        <v/>
      </c>
      <c r="AD158" s="37"/>
      <c r="AE158" s="36"/>
      <c r="AF158" s="36"/>
      <c r="AG158" s="40"/>
      <c r="AH158" s="36"/>
      <c r="AI158" s="40"/>
      <c r="AJ158" s="36"/>
      <c r="AK158" s="36"/>
      <c r="AL158" s="36"/>
      <c r="AM158" s="34"/>
      <c r="AN158" s="35"/>
      <c r="AO158" s="41" t="str">
        <f t="shared" si="48"/>
        <v/>
      </c>
      <c r="AP158" s="39" t="str">
        <f t="shared" si="49"/>
        <v/>
      </c>
      <c r="AQ158" s="39" t="str">
        <f t="shared" si="50"/>
        <v/>
      </c>
      <c r="AR158" s="39" t="str">
        <f t="shared" si="51"/>
        <v/>
      </c>
      <c r="AS158" s="39" t="str">
        <f t="shared" si="52"/>
        <v/>
      </c>
      <c r="AT158" s="33" t="str">
        <f t="shared" si="53"/>
        <v/>
      </c>
      <c r="AU158" s="31"/>
      <c r="AV158" s="32"/>
      <c r="AW158" s="36"/>
      <c r="AX158" s="21" t="str">
        <f t="shared" si="54"/>
        <v/>
      </c>
      <c r="AY158" s="21" t="str">
        <f>IF(AX158="","",COUNTIF(AX$5:AX158,AX158))</f>
        <v/>
      </c>
    </row>
    <row r="159" spans="1:51" ht="15" customHeight="1" x14ac:dyDescent="0.25">
      <c r="A159" s="22" t="str">
        <f t="shared" si="44"/>
        <v/>
      </c>
      <c r="B159" s="23"/>
      <c r="C159" s="24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3"/>
      <c r="U159" s="24"/>
      <c r="V159" s="26"/>
      <c r="W159" s="26"/>
      <c r="X159" s="27" t="str">
        <f t="shared" si="45"/>
        <v/>
      </c>
      <c r="Y159" s="28" t="str">
        <f t="shared" si="46"/>
        <v/>
      </c>
      <c r="Z159" s="26"/>
      <c r="AA159" s="26"/>
      <c r="AB159" s="26"/>
      <c r="AC159" s="27" t="str">
        <f t="shared" si="47"/>
        <v/>
      </c>
      <c r="AD159" s="26"/>
      <c r="AE159" s="25"/>
      <c r="AF159" s="25"/>
      <c r="AG159" s="29"/>
      <c r="AH159" s="25"/>
      <c r="AI159" s="29"/>
      <c r="AJ159" s="25"/>
      <c r="AK159" s="25"/>
      <c r="AL159" s="25"/>
      <c r="AM159" s="23"/>
      <c r="AN159" s="24"/>
      <c r="AO159" s="30" t="str">
        <f t="shared" si="48"/>
        <v/>
      </c>
      <c r="AP159" s="28" t="str">
        <f t="shared" si="49"/>
        <v/>
      </c>
      <c r="AQ159" s="28" t="str">
        <f t="shared" si="50"/>
        <v/>
      </c>
      <c r="AR159" s="28" t="str">
        <f t="shared" si="51"/>
        <v/>
      </c>
      <c r="AS159" s="28" t="str">
        <f t="shared" si="52"/>
        <v/>
      </c>
      <c r="AT159" s="22" t="str">
        <f t="shared" si="53"/>
        <v/>
      </c>
      <c r="AU159" s="31"/>
      <c r="AV159" s="32"/>
      <c r="AW159" s="25"/>
      <c r="AX159" s="21" t="str">
        <f t="shared" si="54"/>
        <v/>
      </c>
      <c r="AY159" s="21" t="str">
        <f>IF(AX159="","",COUNTIF(AX$5:AX159,AX159))</f>
        <v/>
      </c>
    </row>
    <row r="160" spans="1:51" ht="15" customHeight="1" x14ac:dyDescent="0.25">
      <c r="A160" s="33" t="str">
        <f t="shared" si="44"/>
        <v/>
      </c>
      <c r="B160" s="34"/>
      <c r="C160" s="35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4"/>
      <c r="U160" s="35"/>
      <c r="V160" s="37"/>
      <c r="W160" s="37"/>
      <c r="X160" s="38" t="str">
        <f t="shared" si="45"/>
        <v/>
      </c>
      <c r="Y160" s="39" t="str">
        <f t="shared" si="46"/>
        <v/>
      </c>
      <c r="Z160" s="37"/>
      <c r="AA160" s="37"/>
      <c r="AB160" s="37"/>
      <c r="AC160" s="38" t="str">
        <f t="shared" si="47"/>
        <v/>
      </c>
      <c r="AD160" s="37"/>
      <c r="AE160" s="36"/>
      <c r="AF160" s="36"/>
      <c r="AG160" s="40"/>
      <c r="AH160" s="36"/>
      <c r="AI160" s="40"/>
      <c r="AJ160" s="36"/>
      <c r="AK160" s="36"/>
      <c r="AL160" s="36"/>
      <c r="AM160" s="34"/>
      <c r="AN160" s="35"/>
      <c r="AO160" s="41" t="str">
        <f t="shared" si="48"/>
        <v/>
      </c>
      <c r="AP160" s="39" t="str">
        <f t="shared" si="49"/>
        <v/>
      </c>
      <c r="AQ160" s="39" t="str">
        <f t="shared" si="50"/>
        <v/>
      </c>
      <c r="AR160" s="39" t="str">
        <f t="shared" si="51"/>
        <v/>
      </c>
      <c r="AS160" s="39" t="str">
        <f t="shared" si="52"/>
        <v/>
      </c>
      <c r="AT160" s="33" t="str">
        <f t="shared" si="53"/>
        <v/>
      </c>
      <c r="AU160" s="31"/>
      <c r="AV160" s="32"/>
      <c r="AW160" s="36"/>
      <c r="AX160" s="21" t="str">
        <f t="shared" si="54"/>
        <v/>
      </c>
      <c r="AY160" s="21" t="str">
        <f>IF(AX160="","",COUNTIF(AX$5:AX160,AX160))</f>
        <v/>
      </c>
    </row>
    <row r="161" spans="1:51" ht="15" customHeight="1" x14ac:dyDescent="0.25">
      <c r="A161" s="22" t="str">
        <f t="shared" si="44"/>
        <v/>
      </c>
      <c r="B161" s="23"/>
      <c r="C161" s="24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3"/>
      <c r="U161" s="24"/>
      <c r="V161" s="26"/>
      <c r="W161" s="26"/>
      <c r="X161" s="27" t="str">
        <f t="shared" si="45"/>
        <v/>
      </c>
      <c r="Y161" s="28" t="str">
        <f t="shared" si="46"/>
        <v/>
      </c>
      <c r="Z161" s="26"/>
      <c r="AA161" s="26"/>
      <c r="AB161" s="26"/>
      <c r="AC161" s="27" t="str">
        <f t="shared" si="47"/>
        <v/>
      </c>
      <c r="AD161" s="26"/>
      <c r="AE161" s="25"/>
      <c r="AF161" s="25"/>
      <c r="AG161" s="29"/>
      <c r="AH161" s="25"/>
      <c r="AI161" s="29"/>
      <c r="AJ161" s="25"/>
      <c r="AK161" s="25"/>
      <c r="AL161" s="25"/>
      <c r="AM161" s="23"/>
      <c r="AN161" s="24"/>
      <c r="AO161" s="30" t="str">
        <f t="shared" si="48"/>
        <v/>
      </c>
      <c r="AP161" s="28" t="str">
        <f t="shared" si="49"/>
        <v/>
      </c>
      <c r="AQ161" s="28" t="str">
        <f t="shared" si="50"/>
        <v/>
      </c>
      <c r="AR161" s="28" t="str">
        <f t="shared" si="51"/>
        <v/>
      </c>
      <c r="AS161" s="28" t="str">
        <f t="shared" si="52"/>
        <v/>
      </c>
      <c r="AT161" s="22" t="str">
        <f t="shared" si="53"/>
        <v/>
      </c>
      <c r="AU161" s="31"/>
      <c r="AV161" s="32"/>
      <c r="AW161" s="25"/>
      <c r="AX161" s="21" t="str">
        <f t="shared" si="54"/>
        <v/>
      </c>
      <c r="AY161" s="21" t="str">
        <f>IF(AX161="","",COUNTIF(AX$5:AX161,AX161))</f>
        <v/>
      </c>
    </row>
    <row r="162" spans="1:51" ht="15" customHeight="1" x14ac:dyDescent="0.25">
      <c r="A162" s="33" t="str">
        <f t="shared" si="44"/>
        <v/>
      </c>
      <c r="B162" s="34"/>
      <c r="C162" s="35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4"/>
      <c r="U162" s="35"/>
      <c r="V162" s="37"/>
      <c r="W162" s="37"/>
      <c r="X162" s="38" t="str">
        <f t="shared" si="45"/>
        <v/>
      </c>
      <c r="Y162" s="39" t="str">
        <f t="shared" si="46"/>
        <v/>
      </c>
      <c r="Z162" s="37"/>
      <c r="AA162" s="37"/>
      <c r="AB162" s="37"/>
      <c r="AC162" s="38" t="str">
        <f t="shared" si="47"/>
        <v/>
      </c>
      <c r="AD162" s="37"/>
      <c r="AE162" s="36"/>
      <c r="AF162" s="36"/>
      <c r="AG162" s="40"/>
      <c r="AH162" s="36"/>
      <c r="AI162" s="40"/>
      <c r="AJ162" s="36"/>
      <c r="AK162" s="36"/>
      <c r="AL162" s="36"/>
      <c r="AM162" s="34"/>
      <c r="AN162" s="35"/>
      <c r="AO162" s="41" t="str">
        <f t="shared" si="48"/>
        <v/>
      </c>
      <c r="AP162" s="39" t="str">
        <f t="shared" si="49"/>
        <v/>
      </c>
      <c r="AQ162" s="39" t="str">
        <f t="shared" si="50"/>
        <v/>
      </c>
      <c r="AR162" s="39" t="str">
        <f t="shared" si="51"/>
        <v/>
      </c>
      <c r="AS162" s="39" t="str">
        <f t="shared" si="52"/>
        <v/>
      </c>
      <c r="AT162" s="33" t="str">
        <f t="shared" si="53"/>
        <v/>
      </c>
      <c r="AU162" s="31"/>
      <c r="AV162" s="32"/>
      <c r="AW162" s="36"/>
      <c r="AX162" s="21" t="str">
        <f t="shared" si="54"/>
        <v/>
      </c>
      <c r="AY162" s="21" t="str">
        <f>IF(AX162="","",COUNTIF(AX$5:AX162,AX162))</f>
        <v/>
      </c>
    </row>
    <row r="163" spans="1:51" ht="15" customHeight="1" x14ac:dyDescent="0.25">
      <c r="A163" s="22" t="str">
        <f t="shared" si="44"/>
        <v/>
      </c>
      <c r="B163" s="23"/>
      <c r="C163" s="24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3"/>
      <c r="U163" s="24"/>
      <c r="V163" s="26"/>
      <c r="W163" s="26"/>
      <c r="X163" s="27" t="str">
        <f t="shared" si="45"/>
        <v/>
      </c>
      <c r="Y163" s="28" t="str">
        <f t="shared" si="46"/>
        <v/>
      </c>
      <c r="Z163" s="26"/>
      <c r="AA163" s="26"/>
      <c r="AB163" s="26"/>
      <c r="AC163" s="27" t="str">
        <f t="shared" si="47"/>
        <v/>
      </c>
      <c r="AD163" s="26"/>
      <c r="AE163" s="25"/>
      <c r="AF163" s="25"/>
      <c r="AG163" s="29"/>
      <c r="AH163" s="25"/>
      <c r="AI163" s="29"/>
      <c r="AJ163" s="25"/>
      <c r="AK163" s="25"/>
      <c r="AL163" s="25"/>
      <c r="AM163" s="23"/>
      <c r="AN163" s="24"/>
      <c r="AO163" s="30" t="str">
        <f t="shared" si="48"/>
        <v/>
      </c>
      <c r="AP163" s="28" t="str">
        <f t="shared" si="49"/>
        <v/>
      </c>
      <c r="AQ163" s="28" t="str">
        <f t="shared" si="50"/>
        <v/>
      </c>
      <c r="AR163" s="28" t="str">
        <f t="shared" si="51"/>
        <v/>
      </c>
      <c r="AS163" s="28" t="str">
        <f t="shared" si="52"/>
        <v/>
      </c>
      <c r="AT163" s="22" t="str">
        <f t="shared" si="53"/>
        <v/>
      </c>
      <c r="AU163" s="31"/>
      <c r="AV163" s="32"/>
      <c r="AW163" s="25"/>
      <c r="AX163" s="21" t="str">
        <f t="shared" si="54"/>
        <v/>
      </c>
      <c r="AY163" s="21" t="str">
        <f>IF(AX163="","",COUNTIF(AX$5:AX163,AX163))</f>
        <v/>
      </c>
    </row>
    <row r="164" spans="1:51" ht="15" customHeight="1" x14ac:dyDescent="0.25">
      <c r="A164" s="33" t="str">
        <f t="shared" si="44"/>
        <v/>
      </c>
      <c r="B164" s="34"/>
      <c r="C164" s="35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4"/>
      <c r="U164" s="35"/>
      <c r="V164" s="37"/>
      <c r="W164" s="37"/>
      <c r="X164" s="38" t="str">
        <f t="shared" si="45"/>
        <v/>
      </c>
      <c r="Y164" s="39" t="str">
        <f t="shared" si="46"/>
        <v/>
      </c>
      <c r="Z164" s="37"/>
      <c r="AA164" s="37"/>
      <c r="AB164" s="37"/>
      <c r="AC164" s="38" t="str">
        <f t="shared" si="47"/>
        <v/>
      </c>
      <c r="AD164" s="37"/>
      <c r="AE164" s="36"/>
      <c r="AF164" s="36"/>
      <c r="AG164" s="40"/>
      <c r="AH164" s="36"/>
      <c r="AI164" s="40"/>
      <c r="AJ164" s="36"/>
      <c r="AK164" s="36"/>
      <c r="AL164" s="36"/>
      <c r="AM164" s="34"/>
      <c r="AN164" s="35"/>
      <c r="AO164" s="41" t="str">
        <f t="shared" si="48"/>
        <v/>
      </c>
      <c r="AP164" s="39" t="str">
        <f t="shared" si="49"/>
        <v/>
      </c>
      <c r="AQ164" s="39" t="str">
        <f t="shared" si="50"/>
        <v/>
      </c>
      <c r="AR164" s="39" t="str">
        <f t="shared" si="51"/>
        <v/>
      </c>
      <c r="AS164" s="39" t="str">
        <f t="shared" si="52"/>
        <v/>
      </c>
      <c r="AT164" s="33" t="str">
        <f t="shared" si="53"/>
        <v/>
      </c>
      <c r="AU164" s="31"/>
      <c r="AV164" s="32"/>
      <c r="AW164" s="36"/>
      <c r="AX164" s="21" t="str">
        <f t="shared" si="54"/>
        <v/>
      </c>
      <c r="AY164" s="21" t="str">
        <f>IF(AX164="","",COUNTIF(AX$5:AX164,AX164))</f>
        <v/>
      </c>
    </row>
    <row r="165" spans="1:51" ht="15" customHeight="1" x14ac:dyDescent="0.25">
      <c r="A165" s="22" t="str">
        <f t="shared" ref="A165:A196" si="55">IF(B165&lt;&gt;"","INC-"&amp;TEXT(ROW()-4,"0000"),"")</f>
        <v/>
      </c>
      <c r="B165" s="23"/>
      <c r="C165" s="24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3"/>
      <c r="U165" s="24"/>
      <c r="V165" s="26"/>
      <c r="W165" s="26"/>
      <c r="X165" s="27" t="str">
        <f t="shared" ref="X165:X196" si="56">IF(OR(V165&lt;&gt;"",W165&lt;&gt;""),IF(V165="",0,V165)+IF(W165="",0,W165),"")</f>
        <v/>
      </c>
      <c r="Y165" s="28" t="str">
        <f t="shared" ref="Y165:Y196" si="57">IF(X165&lt;&gt;"",X165*0.33,"")</f>
        <v/>
      </c>
      <c r="Z165" s="26"/>
      <c r="AA165" s="26"/>
      <c r="AB165" s="26"/>
      <c r="AC165" s="27" t="str">
        <f t="shared" ref="AC165:AC196" si="58">IF(OR(Z165&lt;&gt;"",AB165&lt;&gt;""),IF(Z165="",0,Z165)+IF(AB165="",0,AB165),"")</f>
        <v/>
      </c>
      <c r="AD165" s="26"/>
      <c r="AE165" s="25"/>
      <c r="AF165" s="25"/>
      <c r="AG165" s="29"/>
      <c r="AH165" s="25"/>
      <c r="AI165" s="29"/>
      <c r="AJ165" s="25"/>
      <c r="AK165" s="25"/>
      <c r="AL165" s="25"/>
      <c r="AM165" s="23"/>
      <c r="AN165" s="24"/>
      <c r="AO165" s="30" t="str">
        <f t="shared" ref="AO165:AO196" si="59">IFERROR(IF(AND(AM165&lt;&gt;"",B165&lt;&gt;""),((AM165+AN165)-(B165+C165))*24,""),"")</f>
        <v/>
      </c>
      <c r="AP165" s="28" t="str">
        <f t="shared" ref="AP165:AP200" si="60">IF(S165="","",IF(S165="Juan Manuel",18.9,IF(S165="Juan Luis",17.5,IF(S165="Raúl",15.8,IF(S165="Adrián",13.5,IF(S165="Paco",13.5,""))))))</f>
        <v/>
      </c>
      <c r="AQ165" s="28" t="str">
        <f t="shared" ref="AQ165:AQ196" si="61">IFERROR(IF(AND(AC165&lt;&gt;"",AP165&lt;&gt;""),(AC165/60)*AP165,""),"")</f>
        <v/>
      </c>
      <c r="AR165" s="28" t="str">
        <f t="shared" ref="AR165:AR200" si="62">IF(Y165&lt;&gt;"",Y165,"")</f>
        <v/>
      </c>
      <c r="AS165" s="28" t="str">
        <f t="shared" ref="AS165:AS196" si="63">IFERROR(IF(OR(AQ165&lt;&gt;"",AG165&lt;&gt;"",AR165&lt;&gt;""),IF(AQ165="",0,AQ165)+IF(AG165="",0,AG165)+IF(AR165="",0,AR165),""),"")</f>
        <v/>
      </c>
      <c r="AT165" s="22" t="str">
        <f t="shared" ref="AT165:AT196" si="64">IF(AS165="","",IF(AS165&gt;150,"⚠️ REVISAR",IF(AS165&gt;80,"⚡ ATENCIÓN","✅ OK")))</f>
        <v/>
      </c>
      <c r="AU165" s="31"/>
      <c r="AV165" s="32"/>
      <c r="AW165" s="25"/>
      <c r="AX165" s="21" t="str">
        <f t="shared" ref="AX165:AX200" si="65">IF(OR(S165="",T165=""),"",S165&amp;TEXT(T165,"YYYYMMDD"))</f>
        <v/>
      </c>
      <c r="AY165" s="21" t="str">
        <f>IF(AX165="","",COUNTIF(AX$5:AX165,AX165))</f>
        <v/>
      </c>
    </row>
    <row r="166" spans="1:51" ht="15" customHeight="1" x14ac:dyDescent="0.25">
      <c r="A166" s="33" t="str">
        <f t="shared" si="55"/>
        <v/>
      </c>
      <c r="B166" s="34"/>
      <c r="C166" s="35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4"/>
      <c r="U166" s="35"/>
      <c r="V166" s="37"/>
      <c r="W166" s="37"/>
      <c r="X166" s="38" t="str">
        <f t="shared" si="56"/>
        <v/>
      </c>
      <c r="Y166" s="39" t="str">
        <f t="shared" si="57"/>
        <v/>
      </c>
      <c r="Z166" s="37"/>
      <c r="AA166" s="37"/>
      <c r="AB166" s="37"/>
      <c r="AC166" s="38" t="str">
        <f t="shared" si="58"/>
        <v/>
      </c>
      <c r="AD166" s="37"/>
      <c r="AE166" s="36"/>
      <c r="AF166" s="36"/>
      <c r="AG166" s="40"/>
      <c r="AH166" s="36"/>
      <c r="AI166" s="40"/>
      <c r="AJ166" s="36"/>
      <c r="AK166" s="36"/>
      <c r="AL166" s="36"/>
      <c r="AM166" s="34"/>
      <c r="AN166" s="35"/>
      <c r="AO166" s="41" t="str">
        <f t="shared" si="59"/>
        <v/>
      </c>
      <c r="AP166" s="39" t="str">
        <f t="shared" si="60"/>
        <v/>
      </c>
      <c r="AQ166" s="39" t="str">
        <f t="shared" si="61"/>
        <v/>
      </c>
      <c r="AR166" s="39" t="str">
        <f t="shared" si="62"/>
        <v/>
      </c>
      <c r="AS166" s="39" t="str">
        <f t="shared" si="63"/>
        <v/>
      </c>
      <c r="AT166" s="33" t="str">
        <f t="shared" si="64"/>
        <v/>
      </c>
      <c r="AU166" s="31"/>
      <c r="AV166" s="32"/>
      <c r="AW166" s="36"/>
      <c r="AX166" s="21" t="str">
        <f t="shared" si="65"/>
        <v/>
      </c>
      <c r="AY166" s="21" t="str">
        <f>IF(AX166="","",COUNTIF(AX$5:AX166,AX166))</f>
        <v/>
      </c>
    </row>
    <row r="167" spans="1:51" ht="15" customHeight="1" x14ac:dyDescent="0.25">
      <c r="A167" s="22" t="str">
        <f t="shared" si="55"/>
        <v/>
      </c>
      <c r="B167" s="23"/>
      <c r="C167" s="24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3"/>
      <c r="U167" s="24"/>
      <c r="V167" s="26"/>
      <c r="W167" s="26"/>
      <c r="X167" s="27" t="str">
        <f t="shared" si="56"/>
        <v/>
      </c>
      <c r="Y167" s="28" t="str">
        <f t="shared" si="57"/>
        <v/>
      </c>
      <c r="Z167" s="26"/>
      <c r="AA167" s="26"/>
      <c r="AB167" s="26"/>
      <c r="AC167" s="27" t="str">
        <f t="shared" si="58"/>
        <v/>
      </c>
      <c r="AD167" s="26"/>
      <c r="AE167" s="25"/>
      <c r="AF167" s="25"/>
      <c r="AG167" s="29"/>
      <c r="AH167" s="25"/>
      <c r="AI167" s="29"/>
      <c r="AJ167" s="25"/>
      <c r="AK167" s="25"/>
      <c r="AL167" s="25"/>
      <c r="AM167" s="23"/>
      <c r="AN167" s="24"/>
      <c r="AO167" s="30" t="str">
        <f t="shared" si="59"/>
        <v/>
      </c>
      <c r="AP167" s="28" t="str">
        <f t="shared" si="60"/>
        <v/>
      </c>
      <c r="AQ167" s="28" t="str">
        <f t="shared" si="61"/>
        <v/>
      </c>
      <c r="AR167" s="28" t="str">
        <f t="shared" si="62"/>
        <v/>
      </c>
      <c r="AS167" s="28" t="str">
        <f t="shared" si="63"/>
        <v/>
      </c>
      <c r="AT167" s="22" t="str">
        <f t="shared" si="64"/>
        <v/>
      </c>
      <c r="AU167" s="31"/>
      <c r="AV167" s="32"/>
      <c r="AW167" s="25"/>
      <c r="AX167" s="21" t="str">
        <f t="shared" si="65"/>
        <v/>
      </c>
      <c r="AY167" s="21" t="str">
        <f>IF(AX167="","",COUNTIF(AX$5:AX167,AX167))</f>
        <v/>
      </c>
    </row>
    <row r="168" spans="1:51" ht="15" customHeight="1" x14ac:dyDescent="0.25">
      <c r="A168" s="33" t="str">
        <f t="shared" si="55"/>
        <v/>
      </c>
      <c r="B168" s="34"/>
      <c r="C168" s="35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4"/>
      <c r="U168" s="35"/>
      <c r="V168" s="37"/>
      <c r="W168" s="37"/>
      <c r="X168" s="38" t="str">
        <f t="shared" si="56"/>
        <v/>
      </c>
      <c r="Y168" s="39" t="str">
        <f t="shared" si="57"/>
        <v/>
      </c>
      <c r="Z168" s="37"/>
      <c r="AA168" s="37"/>
      <c r="AB168" s="37"/>
      <c r="AC168" s="38" t="str">
        <f t="shared" si="58"/>
        <v/>
      </c>
      <c r="AD168" s="37"/>
      <c r="AE168" s="36"/>
      <c r="AF168" s="36"/>
      <c r="AG168" s="40"/>
      <c r="AH168" s="36"/>
      <c r="AI168" s="40"/>
      <c r="AJ168" s="36"/>
      <c r="AK168" s="36"/>
      <c r="AL168" s="36"/>
      <c r="AM168" s="34"/>
      <c r="AN168" s="35"/>
      <c r="AO168" s="41" t="str">
        <f t="shared" si="59"/>
        <v/>
      </c>
      <c r="AP168" s="39" t="str">
        <f t="shared" si="60"/>
        <v/>
      </c>
      <c r="AQ168" s="39" t="str">
        <f t="shared" si="61"/>
        <v/>
      </c>
      <c r="AR168" s="39" t="str">
        <f t="shared" si="62"/>
        <v/>
      </c>
      <c r="AS168" s="39" t="str">
        <f t="shared" si="63"/>
        <v/>
      </c>
      <c r="AT168" s="33" t="str">
        <f t="shared" si="64"/>
        <v/>
      </c>
      <c r="AU168" s="31"/>
      <c r="AV168" s="32"/>
      <c r="AW168" s="36"/>
      <c r="AX168" s="21" t="str">
        <f t="shared" si="65"/>
        <v/>
      </c>
      <c r="AY168" s="21" t="str">
        <f>IF(AX168="","",COUNTIF(AX$5:AX168,AX168))</f>
        <v/>
      </c>
    </row>
    <row r="169" spans="1:51" ht="15" customHeight="1" x14ac:dyDescent="0.25">
      <c r="A169" s="22" t="str">
        <f t="shared" si="55"/>
        <v/>
      </c>
      <c r="B169" s="23"/>
      <c r="C169" s="24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3"/>
      <c r="U169" s="24"/>
      <c r="V169" s="26"/>
      <c r="W169" s="26"/>
      <c r="X169" s="27" t="str">
        <f t="shared" si="56"/>
        <v/>
      </c>
      <c r="Y169" s="28" t="str">
        <f t="shared" si="57"/>
        <v/>
      </c>
      <c r="Z169" s="26"/>
      <c r="AA169" s="26"/>
      <c r="AB169" s="26"/>
      <c r="AC169" s="27" t="str">
        <f t="shared" si="58"/>
        <v/>
      </c>
      <c r="AD169" s="26"/>
      <c r="AE169" s="25"/>
      <c r="AF169" s="25"/>
      <c r="AG169" s="29"/>
      <c r="AH169" s="25"/>
      <c r="AI169" s="29"/>
      <c r="AJ169" s="25"/>
      <c r="AK169" s="25"/>
      <c r="AL169" s="25"/>
      <c r="AM169" s="23"/>
      <c r="AN169" s="24"/>
      <c r="AO169" s="30" t="str">
        <f t="shared" si="59"/>
        <v/>
      </c>
      <c r="AP169" s="28" t="str">
        <f t="shared" si="60"/>
        <v/>
      </c>
      <c r="AQ169" s="28" t="str">
        <f t="shared" si="61"/>
        <v/>
      </c>
      <c r="AR169" s="28" t="str">
        <f t="shared" si="62"/>
        <v/>
      </c>
      <c r="AS169" s="28" t="str">
        <f t="shared" si="63"/>
        <v/>
      </c>
      <c r="AT169" s="22" t="str">
        <f t="shared" si="64"/>
        <v/>
      </c>
      <c r="AU169" s="31"/>
      <c r="AV169" s="32"/>
      <c r="AW169" s="25"/>
      <c r="AX169" s="21" t="str">
        <f t="shared" si="65"/>
        <v/>
      </c>
      <c r="AY169" s="21" t="str">
        <f>IF(AX169="","",COUNTIF(AX$5:AX169,AX169))</f>
        <v/>
      </c>
    </row>
    <row r="170" spans="1:51" ht="15" customHeight="1" x14ac:dyDescent="0.25">
      <c r="A170" s="33" t="str">
        <f t="shared" si="55"/>
        <v/>
      </c>
      <c r="B170" s="34"/>
      <c r="C170" s="35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4"/>
      <c r="U170" s="35"/>
      <c r="V170" s="37"/>
      <c r="W170" s="37"/>
      <c r="X170" s="38" t="str">
        <f t="shared" si="56"/>
        <v/>
      </c>
      <c r="Y170" s="39" t="str">
        <f t="shared" si="57"/>
        <v/>
      </c>
      <c r="Z170" s="37"/>
      <c r="AA170" s="37"/>
      <c r="AB170" s="37"/>
      <c r="AC170" s="38" t="str">
        <f t="shared" si="58"/>
        <v/>
      </c>
      <c r="AD170" s="37"/>
      <c r="AE170" s="36"/>
      <c r="AF170" s="36"/>
      <c r="AG170" s="40"/>
      <c r="AH170" s="36"/>
      <c r="AI170" s="40"/>
      <c r="AJ170" s="36"/>
      <c r="AK170" s="36"/>
      <c r="AL170" s="36"/>
      <c r="AM170" s="34"/>
      <c r="AN170" s="35"/>
      <c r="AO170" s="41" t="str">
        <f t="shared" si="59"/>
        <v/>
      </c>
      <c r="AP170" s="39" t="str">
        <f t="shared" si="60"/>
        <v/>
      </c>
      <c r="AQ170" s="39" t="str">
        <f t="shared" si="61"/>
        <v/>
      </c>
      <c r="AR170" s="39" t="str">
        <f t="shared" si="62"/>
        <v/>
      </c>
      <c r="AS170" s="39" t="str">
        <f t="shared" si="63"/>
        <v/>
      </c>
      <c r="AT170" s="33" t="str">
        <f t="shared" si="64"/>
        <v/>
      </c>
      <c r="AU170" s="31"/>
      <c r="AV170" s="32"/>
      <c r="AW170" s="36"/>
      <c r="AX170" s="21" t="str">
        <f t="shared" si="65"/>
        <v/>
      </c>
      <c r="AY170" s="21" t="str">
        <f>IF(AX170="","",COUNTIF(AX$5:AX170,AX170))</f>
        <v/>
      </c>
    </row>
    <row r="171" spans="1:51" ht="15" customHeight="1" x14ac:dyDescent="0.25">
      <c r="A171" s="22" t="str">
        <f t="shared" si="55"/>
        <v/>
      </c>
      <c r="B171" s="23"/>
      <c r="C171" s="24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3"/>
      <c r="U171" s="24"/>
      <c r="V171" s="26"/>
      <c r="W171" s="26"/>
      <c r="X171" s="27" t="str">
        <f t="shared" si="56"/>
        <v/>
      </c>
      <c r="Y171" s="28" t="str">
        <f t="shared" si="57"/>
        <v/>
      </c>
      <c r="Z171" s="26"/>
      <c r="AA171" s="26"/>
      <c r="AB171" s="26"/>
      <c r="AC171" s="27" t="str">
        <f t="shared" si="58"/>
        <v/>
      </c>
      <c r="AD171" s="26"/>
      <c r="AE171" s="25"/>
      <c r="AF171" s="25"/>
      <c r="AG171" s="29"/>
      <c r="AH171" s="25"/>
      <c r="AI171" s="29"/>
      <c r="AJ171" s="25"/>
      <c r="AK171" s="25"/>
      <c r="AL171" s="25"/>
      <c r="AM171" s="23"/>
      <c r="AN171" s="24"/>
      <c r="AO171" s="30" t="str">
        <f t="shared" si="59"/>
        <v/>
      </c>
      <c r="AP171" s="28" t="str">
        <f t="shared" si="60"/>
        <v/>
      </c>
      <c r="AQ171" s="28" t="str">
        <f t="shared" si="61"/>
        <v/>
      </c>
      <c r="AR171" s="28" t="str">
        <f t="shared" si="62"/>
        <v/>
      </c>
      <c r="AS171" s="28" t="str">
        <f t="shared" si="63"/>
        <v/>
      </c>
      <c r="AT171" s="22" t="str">
        <f t="shared" si="64"/>
        <v/>
      </c>
      <c r="AU171" s="31"/>
      <c r="AV171" s="32"/>
      <c r="AW171" s="25"/>
      <c r="AX171" s="21" t="str">
        <f t="shared" si="65"/>
        <v/>
      </c>
      <c r="AY171" s="21" t="str">
        <f>IF(AX171="","",COUNTIF(AX$5:AX171,AX171))</f>
        <v/>
      </c>
    </row>
    <row r="172" spans="1:51" ht="15" customHeight="1" x14ac:dyDescent="0.25">
      <c r="A172" s="33" t="str">
        <f t="shared" si="55"/>
        <v/>
      </c>
      <c r="B172" s="34"/>
      <c r="C172" s="35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4"/>
      <c r="U172" s="35"/>
      <c r="V172" s="37"/>
      <c r="W172" s="37"/>
      <c r="X172" s="38" t="str">
        <f t="shared" si="56"/>
        <v/>
      </c>
      <c r="Y172" s="39" t="str">
        <f t="shared" si="57"/>
        <v/>
      </c>
      <c r="Z172" s="37"/>
      <c r="AA172" s="37"/>
      <c r="AB172" s="37"/>
      <c r="AC172" s="38" t="str">
        <f t="shared" si="58"/>
        <v/>
      </c>
      <c r="AD172" s="37"/>
      <c r="AE172" s="36"/>
      <c r="AF172" s="36"/>
      <c r="AG172" s="40"/>
      <c r="AH172" s="36"/>
      <c r="AI172" s="40"/>
      <c r="AJ172" s="36"/>
      <c r="AK172" s="36"/>
      <c r="AL172" s="36"/>
      <c r="AM172" s="34"/>
      <c r="AN172" s="35"/>
      <c r="AO172" s="41" t="str">
        <f t="shared" si="59"/>
        <v/>
      </c>
      <c r="AP172" s="39" t="str">
        <f t="shared" si="60"/>
        <v/>
      </c>
      <c r="AQ172" s="39" t="str">
        <f t="shared" si="61"/>
        <v/>
      </c>
      <c r="AR172" s="39" t="str">
        <f t="shared" si="62"/>
        <v/>
      </c>
      <c r="AS172" s="39" t="str">
        <f t="shared" si="63"/>
        <v/>
      </c>
      <c r="AT172" s="33" t="str">
        <f t="shared" si="64"/>
        <v/>
      </c>
      <c r="AU172" s="31"/>
      <c r="AV172" s="32"/>
      <c r="AW172" s="36"/>
      <c r="AX172" s="21" t="str">
        <f t="shared" si="65"/>
        <v/>
      </c>
      <c r="AY172" s="21" t="str">
        <f>IF(AX172="","",COUNTIF(AX$5:AX172,AX172))</f>
        <v/>
      </c>
    </row>
    <row r="173" spans="1:51" ht="15" customHeight="1" x14ac:dyDescent="0.25">
      <c r="A173" s="22" t="str">
        <f t="shared" si="55"/>
        <v/>
      </c>
      <c r="B173" s="23"/>
      <c r="C173" s="24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3"/>
      <c r="U173" s="24"/>
      <c r="V173" s="26"/>
      <c r="W173" s="26"/>
      <c r="X173" s="27" t="str">
        <f t="shared" si="56"/>
        <v/>
      </c>
      <c r="Y173" s="28" t="str">
        <f t="shared" si="57"/>
        <v/>
      </c>
      <c r="Z173" s="26"/>
      <c r="AA173" s="26"/>
      <c r="AB173" s="26"/>
      <c r="AC173" s="27" t="str">
        <f t="shared" si="58"/>
        <v/>
      </c>
      <c r="AD173" s="26"/>
      <c r="AE173" s="25"/>
      <c r="AF173" s="25"/>
      <c r="AG173" s="29"/>
      <c r="AH173" s="25"/>
      <c r="AI173" s="29"/>
      <c r="AJ173" s="25"/>
      <c r="AK173" s="25"/>
      <c r="AL173" s="25"/>
      <c r="AM173" s="23"/>
      <c r="AN173" s="24"/>
      <c r="AO173" s="30" t="str">
        <f t="shared" si="59"/>
        <v/>
      </c>
      <c r="AP173" s="28" t="str">
        <f t="shared" si="60"/>
        <v/>
      </c>
      <c r="AQ173" s="28" t="str">
        <f t="shared" si="61"/>
        <v/>
      </c>
      <c r="AR173" s="28" t="str">
        <f t="shared" si="62"/>
        <v/>
      </c>
      <c r="AS173" s="28" t="str">
        <f t="shared" si="63"/>
        <v/>
      </c>
      <c r="AT173" s="22" t="str">
        <f t="shared" si="64"/>
        <v/>
      </c>
      <c r="AU173" s="31"/>
      <c r="AV173" s="32"/>
      <c r="AW173" s="25"/>
      <c r="AX173" s="21" t="str">
        <f t="shared" si="65"/>
        <v/>
      </c>
      <c r="AY173" s="21" t="str">
        <f>IF(AX173="","",COUNTIF(AX$5:AX173,AX173))</f>
        <v/>
      </c>
    </row>
    <row r="174" spans="1:51" ht="15" customHeight="1" x14ac:dyDescent="0.25">
      <c r="A174" s="33" t="str">
        <f t="shared" si="55"/>
        <v/>
      </c>
      <c r="B174" s="34"/>
      <c r="C174" s="35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4"/>
      <c r="U174" s="35"/>
      <c r="V174" s="37"/>
      <c r="W174" s="37"/>
      <c r="X174" s="38" t="str">
        <f t="shared" si="56"/>
        <v/>
      </c>
      <c r="Y174" s="39" t="str">
        <f t="shared" si="57"/>
        <v/>
      </c>
      <c r="Z174" s="37"/>
      <c r="AA174" s="37"/>
      <c r="AB174" s="37"/>
      <c r="AC174" s="38" t="str">
        <f t="shared" si="58"/>
        <v/>
      </c>
      <c r="AD174" s="37"/>
      <c r="AE174" s="36"/>
      <c r="AF174" s="36"/>
      <c r="AG174" s="40"/>
      <c r="AH174" s="36"/>
      <c r="AI174" s="40"/>
      <c r="AJ174" s="36"/>
      <c r="AK174" s="36"/>
      <c r="AL174" s="36"/>
      <c r="AM174" s="34"/>
      <c r="AN174" s="35"/>
      <c r="AO174" s="41" t="str">
        <f t="shared" si="59"/>
        <v/>
      </c>
      <c r="AP174" s="39" t="str">
        <f t="shared" si="60"/>
        <v/>
      </c>
      <c r="AQ174" s="39" t="str">
        <f t="shared" si="61"/>
        <v/>
      </c>
      <c r="AR174" s="39" t="str">
        <f t="shared" si="62"/>
        <v/>
      </c>
      <c r="AS174" s="39" t="str">
        <f t="shared" si="63"/>
        <v/>
      </c>
      <c r="AT174" s="33" t="str">
        <f t="shared" si="64"/>
        <v/>
      </c>
      <c r="AU174" s="31"/>
      <c r="AV174" s="32"/>
      <c r="AW174" s="36"/>
      <c r="AX174" s="21" t="str">
        <f t="shared" si="65"/>
        <v/>
      </c>
      <c r="AY174" s="21" t="str">
        <f>IF(AX174="","",COUNTIF(AX$5:AX174,AX174))</f>
        <v/>
      </c>
    </row>
    <row r="175" spans="1:51" ht="15" customHeight="1" x14ac:dyDescent="0.25">
      <c r="A175" s="22" t="str">
        <f t="shared" si="55"/>
        <v/>
      </c>
      <c r="B175" s="23"/>
      <c r="C175" s="24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3"/>
      <c r="U175" s="24"/>
      <c r="V175" s="26"/>
      <c r="W175" s="26"/>
      <c r="X175" s="27" t="str">
        <f t="shared" si="56"/>
        <v/>
      </c>
      <c r="Y175" s="28" t="str">
        <f t="shared" si="57"/>
        <v/>
      </c>
      <c r="Z175" s="26"/>
      <c r="AA175" s="26"/>
      <c r="AB175" s="26"/>
      <c r="AC175" s="27" t="str">
        <f t="shared" si="58"/>
        <v/>
      </c>
      <c r="AD175" s="26"/>
      <c r="AE175" s="25"/>
      <c r="AF175" s="25"/>
      <c r="AG175" s="29"/>
      <c r="AH175" s="25"/>
      <c r="AI175" s="29"/>
      <c r="AJ175" s="25"/>
      <c r="AK175" s="25"/>
      <c r="AL175" s="25"/>
      <c r="AM175" s="23"/>
      <c r="AN175" s="24"/>
      <c r="AO175" s="30" t="str">
        <f t="shared" si="59"/>
        <v/>
      </c>
      <c r="AP175" s="28" t="str">
        <f t="shared" si="60"/>
        <v/>
      </c>
      <c r="AQ175" s="28" t="str">
        <f t="shared" si="61"/>
        <v/>
      </c>
      <c r="AR175" s="28" t="str">
        <f t="shared" si="62"/>
        <v/>
      </c>
      <c r="AS175" s="28" t="str">
        <f t="shared" si="63"/>
        <v/>
      </c>
      <c r="AT175" s="22" t="str">
        <f t="shared" si="64"/>
        <v/>
      </c>
      <c r="AU175" s="31"/>
      <c r="AV175" s="32"/>
      <c r="AW175" s="25"/>
      <c r="AX175" s="21" t="str">
        <f t="shared" si="65"/>
        <v/>
      </c>
      <c r="AY175" s="21" t="str">
        <f>IF(AX175="","",COUNTIF(AX$5:AX175,AX175))</f>
        <v/>
      </c>
    </row>
    <row r="176" spans="1:51" ht="15" customHeight="1" x14ac:dyDescent="0.25">
      <c r="A176" s="33" t="str">
        <f t="shared" si="55"/>
        <v/>
      </c>
      <c r="B176" s="34"/>
      <c r="C176" s="35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4"/>
      <c r="U176" s="35"/>
      <c r="V176" s="37"/>
      <c r="W176" s="37"/>
      <c r="X176" s="38" t="str">
        <f t="shared" si="56"/>
        <v/>
      </c>
      <c r="Y176" s="39" t="str">
        <f t="shared" si="57"/>
        <v/>
      </c>
      <c r="Z176" s="37"/>
      <c r="AA176" s="37"/>
      <c r="AB176" s="37"/>
      <c r="AC176" s="38" t="str">
        <f t="shared" si="58"/>
        <v/>
      </c>
      <c r="AD176" s="37"/>
      <c r="AE176" s="36"/>
      <c r="AF176" s="36"/>
      <c r="AG176" s="40"/>
      <c r="AH176" s="36"/>
      <c r="AI176" s="40"/>
      <c r="AJ176" s="36"/>
      <c r="AK176" s="36"/>
      <c r="AL176" s="36"/>
      <c r="AM176" s="34"/>
      <c r="AN176" s="35"/>
      <c r="AO176" s="41" t="str">
        <f t="shared" si="59"/>
        <v/>
      </c>
      <c r="AP176" s="39" t="str">
        <f t="shared" si="60"/>
        <v/>
      </c>
      <c r="AQ176" s="39" t="str">
        <f t="shared" si="61"/>
        <v/>
      </c>
      <c r="AR176" s="39" t="str">
        <f t="shared" si="62"/>
        <v/>
      </c>
      <c r="AS176" s="39" t="str">
        <f t="shared" si="63"/>
        <v/>
      </c>
      <c r="AT176" s="33" t="str">
        <f t="shared" si="64"/>
        <v/>
      </c>
      <c r="AU176" s="31"/>
      <c r="AV176" s="32"/>
      <c r="AW176" s="36"/>
      <c r="AX176" s="21" t="str">
        <f t="shared" si="65"/>
        <v/>
      </c>
      <c r="AY176" s="21" t="str">
        <f>IF(AX176="","",COUNTIF(AX$5:AX176,AX176))</f>
        <v/>
      </c>
    </row>
    <row r="177" spans="1:51" ht="15" customHeight="1" x14ac:dyDescent="0.25">
      <c r="A177" s="22" t="str">
        <f t="shared" si="55"/>
        <v/>
      </c>
      <c r="B177" s="23"/>
      <c r="C177" s="24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3"/>
      <c r="U177" s="24"/>
      <c r="V177" s="26"/>
      <c r="W177" s="26"/>
      <c r="X177" s="27" t="str">
        <f t="shared" si="56"/>
        <v/>
      </c>
      <c r="Y177" s="28" t="str">
        <f t="shared" si="57"/>
        <v/>
      </c>
      <c r="Z177" s="26"/>
      <c r="AA177" s="26"/>
      <c r="AB177" s="26"/>
      <c r="AC177" s="27" t="str">
        <f t="shared" si="58"/>
        <v/>
      </c>
      <c r="AD177" s="26"/>
      <c r="AE177" s="25"/>
      <c r="AF177" s="25"/>
      <c r="AG177" s="29"/>
      <c r="AH177" s="25"/>
      <c r="AI177" s="29"/>
      <c r="AJ177" s="25"/>
      <c r="AK177" s="25"/>
      <c r="AL177" s="25"/>
      <c r="AM177" s="23"/>
      <c r="AN177" s="24"/>
      <c r="AO177" s="30" t="str">
        <f t="shared" si="59"/>
        <v/>
      </c>
      <c r="AP177" s="28" t="str">
        <f t="shared" si="60"/>
        <v/>
      </c>
      <c r="AQ177" s="28" t="str">
        <f t="shared" si="61"/>
        <v/>
      </c>
      <c r="AR177" s="28" t="str">
        <f t="shared" si="62"/>
        <v/>
      </c>
      <c r="AS177" s="28" t="str">
        <f t="shared" si="63"/>
        <v/>
      </c>
      <c r="AT177" s="22" t="str">
        <f t="shared" si="64"/>
        <v/>
      </c>
      <c r="AU177" s="31"/>
      <c r="AV177" s="32"/>
      <c r="AW177" s="25"/>
      <c r="AX177" s="21" t="str">
        <f t="shared" si="65"/>
        <v/>
      </c>
      <c r="AY177" s="21" t="str">
        <f>IF(AX177="","",COUNTIF(AX$5:AX177,AX177))</f>
        <v/>
      </c>
    </row>
    <row r="178" spans="1:51" ht="15" customHeight="1" x14ac:dyDescent="0.25">
      <c r="A178" s="33" t="str">
        <f t="shared" si="55"/>
        <v/>
      </c>
      <c r="B178" s="34"/>
      <c r="C178" s="35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4"/>
      <c r="U178" s="35"/>
      <c r="V178" s="37"/>
      <c r="W178" s="37"/>
      <c r="X178" s="38" t="str">
        <f t="shared" si="56"/>
        <v/>
      </c>
      <c r="Y178" s="39" t="str">
        <f t="shared" si="57"/>
        <v/>
      </c>
      <c r="Z178" s="37"/>
      <c r="AA178" s="37"/>
      <c r="AB178" s="37"/>
      <c r="AC178" s="38" t="str">
        <f t="shared" si="58"/>
        <v/>
      </c>
      <c r="AD178" s="37"/>
      <c r="AE178" s="36"/>
      <c r="AF178" s="36"/>
      <c r="AG178" s="40"/>
      <c r="AH178" s="36"/>
      <c r="AI178" s="40"/>
      <c r="AJ178" s="36"/>
      <c r="AK178" s="36"/>
      <c r="AL178" s="36"/>
      <c r="AM178" s="34"/>
      <c r="AN178" s="35"/>
      <c r="AO178" s="41" t="str">
        <f t="shared" si="59"/>
        <v/>
      </c>
      <c r="AP178" s="39" t="str">
        <f t="shared" si="60"/>
        <v/>
      </c>
      <c r="AQ178" s="39" t="str">
        <f t="shared" si="61"/>
        <v/>
      </c>
      <c r="AR178" s="39" t="str">
        <f t="shared" si="62"/>
        <v/>
      </c>
      <c r="AS178" s="39" t="str">
        <f t="shared" si="63"/>
        <v/>
      </c>
      <c r="AT178" s="33" t="str">
        <f t="shared" si="64"/>
        <v/>
      </c>
      <c r="AU178" s="31"/>
      <c r="AV178" s="32"/>
      <c r="AW178" s="36"/>
      <c r="AX178" s="21" t="str">
        <f t="shared" si="65"/>
        <v/>
      </c>
      <c r="AY178" s="21" t="str">
        <f>IF(AX178="","",COUNTIF(AX$5:AX178,AX178))</f>
        <v/>
      </c>
    </row>
    <row r="179" spans="1:51" ht="15" customHeight="1" x14ac:dyDescent="0.25">
      <c r="A179" s="22" t="str">
        <f t="shared" si="55"/>
        <v/>
      </c>
      <c r="B179" s="23"/>
      <c r="C179" s="24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3"/>
      <c r="U179" s="24"/>
      <c r="V179" s="26"/>
      <c r="W179" s="26"/>
      <c r="X179" s="27" t="str">
        <f t="shared" si="56"/>
        <v/>
      </c>
      <c r="Y179" s="28" t="str">
        <f t="shared" si="57"/>
        <v/>
      </c>
      <c r="Z179" s="26"/>
      <c r="AA179" s="26"/>
      <c r="AB179" s="26"/>
      <c r="AC179" s="27" t="str">
        <f t="shared" si="58"/>
        <v/>
      </c>
      <c r="AD179" s="26"/>
      <c r="AE179" s="25"/>
      <c r="AF179" s="25"/>
      <c r="AG179" s="29"/>
      <c r="AH179" s="25"/>
      <c r="AI179" s="29"/>
      <c r="AJ179" s="25"/>
      <c r="AK179" s="25"/>
      <c r="AL179" s="25"/>
      <c r="AM179" s="23"/>
      <c r="AN179" s="24"/>
      <c r="AO179" s="30" t="str">
        <f t="shared" si="59"/>
        <v/>
      </c>
      <c r="AP179" s="28" t="str">
        <f t="shared" si="60"/>
        <v/>
      </c>
      <c r="AQ179" s="28" t="str">
        <f t="shared" si="61"/>
        <v/>
      </c>
      <c r="AR179" s="28" t="str">
        <f t="shared" si="62"/>
        <v/>
      </c>
      <c r="AS179" s="28" t="str">
        <f t="shared" si="63"/>
        <v/>
      </c>
      <c r="AT179" s="22" t="str">
        <f t="shared" si="64"/>
        <v/>
      </c>
      <c r="AU179" s="31"/>
      <c r="AV179" s="32"/>
      <c r="AW179" s="25"/>
      <c r="AX179" s="21" t="str">
        <f t="shared" si="65"/>
        <v/>
      </c>
      <c r="AY179" s="21" t="str">
        <f>IF(AX179="","",COUNTIF(AX$5:AX179,AX179))</f>
        <v/>
      </c>
    </row>
    <row r="180" spans="1:51" ht="15" customHeight="1" x14ac:dyDescent="0.25">
      <c r="A180" s="33" t="str">
        <f t="shared" si="55"/>
        <v/>
      </c>
      <c r="B180" s="34"/>
      <c r="C180" s="35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4"/>
      <c r="U180" s="35"/>
      <c r="V180" s="37"/>
      <c r="W180" s="37"/>
      <c r="X180" s="38" t="str">
        <f t="shared" si="56"/>
        <v/>
      </c>
      <c r="Y180" s="39" t="str">
        <f t="shared" si="57"/>
        <v/>
      </c>
      <c r="Z180" s="37"/>
      <c r="AA180" s="37"/>
      <c r="AB180" s="37"/>
      <c r="AC180" s="38" t="str">
        <f t="shared" si="58"/>
        <v/>
      </c>
      <c r="AD180" s="37"/>
      <c r="AE180" s="36"/>
      <c r="AF180" s="36"/>
      <c r="AG180" s="40"/>
      <c r="AH180" s="36"/>
      <c r="AI180" s="40"/>
      <c r="AJ180" s="36"/>
      <c r="AK180" s="36"/>
      <c r="AL180" s="36"/>
      <c r="AM180" s="34"/>
      <c r="AN180" s="35"/>
      <c r="AO180" s="41" t="str">
        <f t="shared" si="59"/>
        <v/>
      </c>
      <c r="AP180" s="39" t="str">
        <f t="shared" si="60"/>
        <v/>
      </c>
      <c r="AQ180" s="39" t="str">
        <f t="shared" si="61"/>
        <v/>
      </c>
      <c r="AR180" s="39" t="str">
        <f t="shared" si="62"/>
        <v/>
      </c>
      <c r="AS180" s="39" t="str">
        <f t="shared" si="63"/>
        <v/>
      </c>
      <c r="AT180" s="33" t="str">
        <f t="shared" si="64"/>
        <v/>
      </c>
      <c r="AU180" s="31"/>
      <c r="AV180" s="32"/>
      <c r="AW180" s="36"/>
      <c r="AX180" s="21" t="str">
        <f t="shared" si="65"/>
        <v/>
      </c>
      <c r="AY180" s="21" t="str">
        <f>IF(AX180="","",COUNTIF(AX$5:AX180,AX180))</f>
        <v/>
      </c>
    </row>
    <row r="181" spans="1:51" ht="15" customHeight="1" x14ac:dyDescent="0.25">
      <c r="A181" s="22" t="str">
        <f t="shared" si="55"/>
        <v/>
      </c>
      <c r="B181" s="23"/>
      <c r="C181" s="24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3"/>
      <c r="U181" s="24"/>
      <c r="V181" s="26"/>
      <c r="W181" s="26"/>
      <c r="X181" s="27" t="str">
        <f t="shared" si="56"/>
        <v/>
      </c>
      <c r="Y181" s="28" t="str">
        <f t="shared" si="57"/>
        <v/>
      </c>
      <c r="Z181" s="26"/>
      <c r="AA181" s="26"/>
      <c r="AB181" s="26"/>
      <c r="AC181" s="27" t="str">
        <f t="shared" si="58"/>
        <v/>
      </c>
      <c r="AD181" s="26"/>
      <c r="AE181" s="25"/>
      <c r="AF181" s="25"/>
      <c r="AG181" s="29"/>
      <c r="AH181" s="25"/>
      <c r="AI181" s="29"/>
      <c r="AJ181" s="25"/>
      <c r="AK181" s="25"/>
      <c r="AL181" s="25"/>
      <c r="AM181" s="23"/>
      <c r="AN181" s="24"/>
      <c r="AO181" s="30" t="str">
        <f t="shared" si="59"/>
        <v/>
      </c>
      <c r="AP181" s="28" t="str">
        <f t="shared" si="60"/>
        <v/>
      </c>
      <c r="AQ181" s="28" t="str">
        <f t="shared" si="61"/>
        <v/>
      </c>
      <c r="AR181" s="28" t="str">
        <f t="shared" si="62"/>
        <v/>
      </c>
      <c r="AS181" s="28" t="str">
        <f t="shared" si="63"/>
        <v/>
      </c>
      <c r="AT181" s="22" t="str">
        <f t="shared" si="64"/>
        <v/>
      </c>
      <c r="AU181" s="31"/>
      <c r="AV181" s="32"/>
      <c r="AW181" s="25"/>
      <c r="AX181" s="21" t="str">
        <f t="shared" si="65"/>
        <v/>
      </c>
      <c r="AY181" s="21" t="str">
        <f>IF(AX181="","",COUNTIF(AX$5:AX181,AX181))</f>
        <v/>
      </c>
    </row>
    <row r="182" spans="1:51" ht="15" customHeight="1" x14ac:dyDescent="0.25">
      <c r="A182" s="33" t="str">
        <f t="shared" si="55"/>
        <v/>
      </c>
      <c r="B182" s="34"/>
      <c r="C182" s="35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4"/>
      <c r="U182" s="35"/>
      <c r="V182" s="37"/>
      <c r="W182" s="37"/>
      <c r="X182" s="38" t="str">
        <f t="shared" si="56"/>
        <v/>
      </c>
      <c r="Y182" s="39" t="str">
        <f t="shared" si="57"/>
        <v/>
      </c>
      <c r="Z182" s="37"/>
      <c r="AA182" s="37"/>
      <c r="AB182" s="37"/>
      <c r="AC182" s="38" t="str">
        <f t="shared" si="58"/>
        <v/>
      </c>
      <c r="AD182" s="37"/>
      <c r="AE182" s="36"/>
      <c r="AF182" s="36"/>
      <c r="AG182" s="40"/>
      <c r="AH182" s="36"/>
      <c r="AI182" s="40"/>
      <c r="AJ182" s="36"/>
      <c r="AK182" s="36"/>
      <c r="AL182" s="36"/>
      <c r="AM182" s="34"/>
      <c r="AN182" s="35"/>
      <c r="AO182" s="41" t="str">
        <f t="shared" si="59"/>
        <v/>
      </c>
      <c r="AP182" s="39" t="str">
        <f t="shared" si="60"/>
        <v/>
      </c>
      <c r="AQ182" s="39" t="str">
        <f t="shared" si="61"/>
        <v/>
      </c>
      <c r="AR182" s="39" t="str">
        <f t="shared" si="62"/>
        <v/>
      </c>
      <c r="AS182" s="39" t="str">
        <f t="shared" si="63"/>
        <v/>
      </c>
      <c r="AT182" s="33" t="str">
        <f t="shared" si="64"/>
        <v/>
      </c>
      <c r="AU182" s="31"/>
      <c r="AV182" s="32"/>
      <c r="AW182" s="36"/>
      <c r="AX182" s="21" t="str">
        <f t="shared" si="65"/>
        <v/>
      </c>
      <c r="AY182" s="21" t="str">
        <f>IF(AX182="","",COUNTIF(AX$5:AX182,AX182))</f>
        <v/>
      </c>
    </row>
    <row r="183" spans="1:51" ht="15" customHeight="1" x14ac:dyDescent="0.25">
      <c r="A183" s="22" t="str">
        <f t="shared" si="55"/>
        <v/>
      </c>
      <c r="B183" s="23"/>
      <c r="C183" s="24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3"/>
      <c r="U183" s="24"/>
      <c r="V183" s="26"/>
      <c r="W183" s="26"/>
      <c r="X183" s="27" t="str">
        <f t="shared" si="56"/>
        <v/>
      </c>
      <c r="Y183" s="28" t="str">
        <f t="shared" si="57"/>
        <v/>
      </c>
      <c r="Z183" s="26"/>
      <c r="AA183" s="26"/>
      <c r="AB183" s="26"/>
      <c r="AC183" s="27" t="str">
        <f t="shared" si="58"/>
        <v/>
      </c>
      <c r="AD183" s="26"/>
      <c r="AE183" s="25"/>
      <c r="AF183" s="25"/>
      <c r="AG183" s="29"/>
      <c r="AH183" s="25"/>
      <c r="AI183" s="29"/>
      <c r="AJ183" s="25"/>
      <c r="AK183" s="25"/>
      <c r="AL183" s="25"/>
      <c r="AM183" s="23"/>
      <c r="AN183" s="24"/>
      <c r="AO183" s="30" t="str">
        <f t="shared" si="59"/>
        <v/>
      </c>
      <c r="AP183" s="28" t="str">
        <f t="shared" si="60"/>
        <v/>
      </c>
      <c r="AQ183" s="28" t="str">
        <f t="shared" si="61"/>
        <v/>
      </c>
      <c r="AR183" s="28" t="str">
        <f t="shared" si="62"/>
        <v/>
      </c>
      <c r="AS183" s="28" t="str">
        <f t="shared" si="63"/>
        <v/>
      </c>
      <c r="AT183" s="22" t="str">
        <f t="shared" si="64"/>
        <v/>
      </c>
      <c r="AU183" s="31"/>
      <c r="AV183" s="32"/>
      <c r="AW183" s="25"/>
      <c r="AX183" s="21" t="str">
        <f t="shared" si="65"/>
        <v/>
      </c>
      <c r="AY183" s="21" t="str">
        <f>IF(AX183="","",COUNTIF(AX$5:AX183,AX183))</f>
        <v/>
      </c>
    </row>
    <row r="184" spans="1:51" ht="15" customHeight="1" x14ac:dyDescent="0.25">
      <c r="A184" s="33" t="str">
        <f t="shared" si="55"/>
        <v/>
      </c>
      <c r="B184" s="34"/>
      <c r="C184" s="35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4"/>
      <c r="U184" s="35"/>
      <c r="V184" s="37"/>
      <c r="W184" s="37"/>
      <c r="X184" s="38" t="str">
        <f t="shared" si="56"/>
        <v/>
      </c>
      <c r="Y184" s="39" t="str">
        <f t="shared" si="57"/>
        <v/>
      </c>
      <c r="Z184" s="37"/>
      <c r="AA184" s="37"/>
      <c r="AB184" s="37"/>
      <c r="AC184" s="38" t="str">
        <f t="shared" si="58"/>
        <v/>
      </c>
      <c r="AD184" s="37"/>
      <c r="AE184" s="36"/>
      <c r="AF184" s="36"/>
      <c r="AG184" s="40"/>
      <c r="AH184" s="36"/>
      <c r="AI184" s="40"/>
      <c r="AJ184" s="36"/>
      <c r="AK184" s="36"/>
      <c r="AL184" s="36"/>
      <c r="AM184" s="34"/>
      <c r="AN184" s="35"/>
      <c r="AO184" s="41" t="str">
        <f t="shared" si="59"/>
        <v/>
      </c>
      <c r="AP184" s="39" t="str">
        <f t="shared" si="60"/>
        <v/>
      </c>
      <c r="AQ184" s="39" t="str">
        <f t="shared" si="61"/>
        <v/>
      </c>
      <c r="AR184" s="39" t="str">
        <f t="shared" si="62"/>
        <v/>
      </c>
      <c r="AS184" s="39" t="str">
        <f t="shared" si="63"/>
        <v/>
      </c>
      <c r="AT184" s="33" t="str">
        <f t="shared" si="64"/>
        <v/>
      </c>
      <c r="AU184" s="31"/>
      <c r="AV184" s="32"/>
      <c r="AW184" s="36"/>
      <c r="AX184" s="21" t="str">
        <f t="shared" si="65"/>
        <v/>
      </c>
      <c r="AY184" s="21" t="str">
        <f>IF(AX184="","",COUNTIF(AX$5:AX184,AX184))</f>
        <v/>
      </c>
    </row>
    <row r="185" spans="1:51" ht="15" customHeight="1" x14ac:dyDescent="0.25">
      <c r="A185" s="22" t="str">
        <f t="shared" si="55"/>
        <v/>
      </c>
      <c r="B185" s="23"/>
      <c r="C185" s="24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3"/>
      <c r="U185" s="24"/>
      <c r="V185" s="26"/>
      <c r="W185" s="26"/>
      <c r="X185" s="27" t="str">
        <f t="shared" si="56"/>
        <v/>
      </c>
      <c r="Y185" s="28" t="str">
        <f t="shared" si="57"/>
        <v/>
      </c>
      <c r="Z185" s="26"/>
      <c r="AA185" s="26"/>
      <c r="AB185" s="26"/>
      <c r="AC185" s="27" t="str">
        <f t="shared" si="58"/>
        <v/>
      </c>
      <c r="AD185" s="26"/>
      <c r="AE185" s="25"/>
      <c r="AF185" s="25"/>
      <c r="AG185" s="29"/>
      <c r="AH185" s="25"/>
      <c r="AI185" s="29"/>
      <c r="AJ185" s="25"/>
      <c r="AK185" s="25"/>
      <c r="AL185" s="25"/>
      <c r="AM185" s="23"/>
      <c r="AN185" s="24"/>
      <c r="AO185" s="30" t="str">
        <f t="shared" si="59"/>
        <v/>
      </c>
      <c r="AP185" s="28" t="str">
        <f t="shared" si="60"/>
        <v/>
      </c>
      <c r="AQ185" s="28" t="str">
        <f t="shared" si="61"/>
        <v/>
      </c>
      <c r="AR185" s="28" t="str">
        <f t="shared" si="62"/>
        <v/>
      </c>
      <c r="AS185" s="28" t="str">
        <f t="shared" si="63"/>
        <v/>
      </c>
      <c r="AT185" s="22" t="str">
        <f t="shared" si="64"/>
        <v/>
      </c>
      <c r="AU185" s="31"/>
      <c r="AV185" s="32"/>
      <c r="AW185" s="25"/>
      <c r="AX185" s="21" t="str">
        <f t="shared" si="65"/>
        <v/>
      </c>
      <c r="AY185" s="21" t="str">
        <f>IF(AX185="","",COUNTIF(AX$5:AX185,AX185))</f>
        <v/>
      </c>
    </row>
    <row r="186" spans="1:51" ht="15" customHeight="1" x14ac:dyDescent="0.25">
      <c r="A186" s="33" t="str">
        <f t="shared" si="55"/>
        <v/>
      </c>
      <c r="B186" s="34"/>
      <c r="C186" s="35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4"/>
      <c r="U186" s="35"/>
      <c r="V186" s="37"/>
      <c r="W186" s="37"/>
      <c r="X186" s="38" t="str">
        <f t="shared" si="56"/>
        <v/>
      </c>
      <c r="Y186" s="39" t="str">
        <f t="shared" si="57"/>
        <v/>
      </c>
      <c r="Z186" s="37"/>
      <c r="AA186" s="37"/>
      <c r="AB186" s="37"/>
      <c r="AC186" s="38" t="str">
        <f t="shared" si="58"/>
        <v/>
      </c>
      <c r="AD186" s="37"/>
      <c r="AE186" s="36"/>
      <c r="AF186" s="36"/>
      <c r="AG186" s="40"/>
      <c r="AH186" s="36"/>
      <c r="AI186" s="40"/>
      <c r="AJ186" s="36"/>
      <c r="AK186" s="36"/>
      <c r="AL186" s="36"/>
      <c r="AM186" s="34"/>
      <c r="AN186" s="35"/>
      <c r="AO186" s="41" t="str">
        <f t="shared" si="59"/>
        <v/>
      </c>
      <c r="AP186" s="39" t="str">
        <f t="shared" si="60"/>
        <v/>
      </c>
      <c r="AQ186" s="39" t="str">
        <f t="shared" si="61"/>
        <v/>
      </c>
      <c r="AR186" s="39" t="str">
        <f t="shared" si="62"/>
        <v/>
      </c>
      <c r="AS186" s="39" t="str">
        <f t="shared" si="63"/>
        <v/>
      </c>
      <c r="AT186" s="33" t="str">
        <f t="shared" si="64"/>
        <v/>
      </c>
      <c r="AU186" s="31"/>
      <c r="AV186" s="32"/>
      <c r="AW186" s="36"/>
      <c r="AX186" s="21" t="str">
        <f t="shared" si="65"/>
        <v/>
      </c>
      <c r="AY186" s="21" t="str">
        <f>IF(AX186="","",COUNTIF(AX$5:AX186,AX186))</f>
        <v/>
      </c>
    </row>
    <row r="187" spans="1:51" ht="15" customHeight="1" x14ac:dyDescent="0.25">
      <c r="A187" s="22" t="str">
        <f t="shared" si="55"/>
        <v/>
      </c>
      <c r="B187" s="23"/>
      <c r="C187" s="24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3"/>
      <c r="U187" s="24"/>
      <c r="V187" s="26"/>
      <c r="W187" s="26"/>
      <c r="X187" s="27" t="str">
        <f t="shared" si="56"/>
        <v/>
      </c>
      <c r="Y187" s="28" t="str">
        <f t="shared" si="57"/>
        <v/>
      </c>
      <c r="Z187" s="26"/>
      <c r="AA187" s="26"/>
      <c r="AB187" s="26"/>
      <c r="AC187" s="27" t="str">
        <f t="shared" si="58"/>
        <v/>
      </c>
      <c r="AD187" s="26"/>
      <c r="AE187" s="25"/>
      <c r="AF187" s="25"/>
      <c r="AG187" s="29"/>
      <c r="AH187" s="25"/>
      <c r="AI187" s="29"/>
      <c r="AJ187" s="25"/>
      <c r="AK187" s="25"/>
      <c r="AL187" s="25"/>
      <c r="AM187" s="23"/>
      <c r="AN187" s="24"/>
      <c r="AO187" s="30" t="str">
        <f t="shared" si="59"/>
        <v/>
      </c>
      <c r="AP187" s="28" t="str">
        <f t="shared" si="60"/>
        <v/>
      </c>
      <c r="AQ187" s="28" t="str">
        <f t="shared" si="61"/>
        <v/>
      </c>
      <c r="AR187" s="28" t="str">
        <f t="shared" si="62"/>
        <v/>
      </c>
      <c r="AS187" s="28" t="str">
        <f t="shared" si="63"/>
        <v/>
      </c>
      <c r="AT187" s="22" t="str">
        <f t="shared" si="64"/>
        <v/>
      </c>
      <c r="AU187" s="31"/>
      <c r="AV187" s="32"/>
      <c r="AW187" s="25"/>
      <c r="AX187" s="21" t="str">
        <f t="shared" si="65"/>
        <v/>
      </c>
      <c r="AY187" s="21" t="str">
        <f>IF(AX187="","",COUNTIF(AX$5:AX187,AX187))</f>
        <v/>
      </c>
    </row>
    <row r="188" spans="1:51" ht="15" customHeight="1" x14ac:dyDescent="0.25">
      <c r="A188" s="33" t="str">
        <f t="shared" si="55"/>
        <v/>
      </c>
      <c r="B188" s="34"/>
      <c r="C188" s="35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4"/>
      <c r="U188" s="35"/>
      <c r="V188" s="37"/>
      <c r="W188" s="37"/>
      <c r="X188" s="38" t="str">
        <f t="shared" si="56"/>
        <v/>
      </c>
      <c r="Y188" s="39" t="str">
        <f t="shared" si="57"/>
        <v/>
      </c>
      <c r="Z188" s="37"/>
      <c r="AA188" s="37"/>
      <c r="AB188" s="37"/>
      <c r="AC188" s="38" t="str">
        <f t="shared" si="58"/>
        <v/>
      </c>
      <c r="AD188" s="37"/>
      <c r="AE188" s="36"/>
      <c r="AF188" s="36"/>
      <c r="AG188" s="40"/>
      <c r="AH188" s="36"/>
      <c r="AI188" s="40"/>
      <c r="AJ188" s="36"/>
      <c r="AK188" s="36"/>
      <c r="AL188" s="36"/>
      <c r="AM188" s="34"/>
      <c r="AN188" s="35"/>
      <c r="AO188" s="41" t="str">
        <f t="shared" si="59"/>
        <v/>
      </c>
      <c r="AP188" s="39" t="str">
        <f t="shared" si="60"/>
        <v/>
      </c>
      <c r="AQ188" s="39" t="str">
        <f t="shared" si="61"/>
        <v/>
      </c>
      <c r="AR188" s="39" t="str">
        <f t="shared" si="62"/>
        <v/>
      </c>
      <c r="AS188" s="39" t="str">
        <f t="shared" si="63"/>
        <v/>
      </c>
      <c r="AT188" s="33" t="str">
        <f t="shared" si="64"/>
        <v/>
      </c>
      <c r="AU188" s="31"/>
      <c r="AV188" s="32"/>
      <c r="AW188" s="36"/>
      <c r="AX188" s="21" t="str">
        <f t="shared" si="65"/>
        <v/>
      </c>
      <c r="AY188" s="21" t="str">
        <f>IF(AX188="","",COUNTIF(AX$5:AX188,AX188))</f>
        <v/>
      </c>
    </row>
    <row r="189" spans="1:51" ht="15" customHeight="1" x14ac:dyDescent="0.25">
      <c r="A189" s="22" t="str">
        <f t="shared" si="55"/>
        <v/>
      </c>
      <c r="B189" s="23"/>
      <c r="C189" s="24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3"/>
      <c r="U189" s="24"/>
      <c r="V189" s="26"/>
      <c r="W189" s="26"/>
      <c r="X189" s="27" t="str">
        <f t="shared" si="56"/>
        <v/>
      </c>
      <c r="Y189" s="28" t="str">
        <f t="shared" si="57"/>
        <v/>
      </c>
      <c r="Z189" s="26"/>
      <c r="AA189" s="26"/>
      <c r="AB189" s="26"/>
      <c r="AC189" s="27" t="str">
        <f t="shared" si="58"/>
        <v/>
      </c>
      <c r="AD189" s="26"/>
      <c r="AE189" s="25"/>
      <c r="AF189" s="25"/>
      <c r="AG189" s="29"/>
      <c r="AH189" s="25"/>
      <c r="AI189" s="29"/>
      <c r="AJ189" s="25"/>
      <c r="AK189" s="25"/>
      <c r="AL189" s="25"/>
      <c r="AM189" s="23"/>
      <c r="AN189" s="24"/>
      <c r="AO189" s="30" t="str">
        <f t="shared" si="59"/>
        <v/>
      </c>
      <c r="AP189" s="28" t="str">
        <f t="shared" si="60"/>
        <v/>
      </c>
      <c r="AQ189" s="28" t="str">
        <f t="shared" si="61"/>
        <v/>
      </c>
      <c r="AR189" s="28" t="str">
        <f t="shared" si="62"/>
        <v/>
      </c>
      <c r="AS189" s="28" t="str">
        <f t="shared" si="63"/>
        <v/>
      </c>
      <c r="AT189" s="22" t="str">
        <f t="shared" si="64"/>
        <v/>
      </c>
      <c r="AU189" s="31"/>
      <c r="AV189" s="32"/>
      <c r="AW189" s="25"/>
      <c r="AX189" s="21" t="str">
        <f t="shared" si="65"/>
        <v/>
      </c>
      <c r="AY189" s="21" t="str">
        <f>IF(AX189="","",COUNTIF(AX$5:AX189,AX189))</f>
        <v/>
      </c>
    </row>
    <row r="190" spans="1:51" ht="15" customHeight="1" x14ac:dyDescent="0.25">
      <c r="A190" s="33" t="str">
        <f t="shared" si="55"/>
        <v/>
      </c>
      <c r="B190" s="34"/>
      <c r="C190" s="35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4"/>
      <c r="U190" s="35"/>
      <c r="V190" s="37"/>
      <c r="W190" s="37"/>
      <c r="X190" s="38" t="str">
        <f t="shared" si="56"/>
        <v/>
      </c>
      <c r="Y190" s="39" t="str">
        <f t="shared" si="57"/>
        <v/>
      </c>
      <c r="Z190" s="37"/>
      <c r="AA190" s="37"/>
      <c r="AB190" s="37"/>
      <c r="AC190" s="38" t="str">
        <f t="shared" si="58"/>
        <v/>
      </c>
      <c r="AD190" s="37"/>
      <c r="AE190" s="36"/>
      <c r="AF190" s="36"/>
      <c r="AG190" s="40"/>
      <c r="AH190" s="36"/>
      <c r="AI190" s="40"/>
      <c r="AJ190" s="36"/>
      <c r="AK190" s="36"/>
      <c r="AL190" s="36"/>
      <c r="AM190" s="34"/>
      <c r="AN190" s="35"/>
      <c r="AO190" s="41" t="str">
        <f t="shared" si="59"/>
        <v/>
      </c>
      <c r="AP190" s="39" t="str">
        <f t="shared" si="60"/>
        <v/>
      </c>
      <c r="AQ190" s="39" t="str">
        <f t="shared" si="61"/>
        <v/>
      </c>
      <c r="AR190" s="39" t="str">
        <f t="shared" si="62"/>
        <v/>
      </c>
      <c r="AS190" s="39" t="str">
        <f t="shared" si="63"/>
        <v/>
      </c>
      <c r="AT190" s="33" t="str">
        <f t="shared" si="64"/>
        <v/>
      </c>
      <c r="AU190" s="31"/>
      <c r="AV190" s="32"/>
      <c r="AW190" s="36"/>
      <c r="AX190" s="21" t="str">
        <f t="shared" si="65"/>
        <v/>
      </c>
      <c r="AY190" s="21" t="str">
        <f>IF(AX190="","",COUNTIF(AX$5:AX190,AX190))</f>
        <v/>
      </c>
    </row>
    <row r="191" spans="1:51" ht="15" customHeight="1" x14ac:dyDescent="0.25">
      <c r="A191" s="22" t="str">
        <f t="shared" si="55"/>
        <v/>
      </c>
      <c r="B191" s="23"/>
      <c r="C191" s="24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3"/>
      <c r="U191" s="24"/>
      <c r="V191" s="26"/>
      <c r="W191" s="26"/>
      <c r="X191" s="27" t="str">
        <f t="shared" si="56"/>
        <v/>
      </c>
      <c r="Y191" s="28" t="str">
        <f t="shared" si="57"/>
        <v/>
      </c>
      <c r="Z191" s="26"/>
      <c r="AA191" s="26"/>
      <c r="AB191" s="26"/>
      <c r="AC191" s="27" t="str">
        <f t="shared" si="58"/>
        <v/>
      </c>
      <c r="AD191" s="26"/>
      <c r="AE191" s="25"/>
      <c r="AF191" s="25"/>
      <c r="AG191" s="29"/>
      <c r="AH191" s="25"/>
      <c r="AI191" s="29"/>
      <c r="AJ191" s="25"/>
      <c r="AK191" s="25"/>
      <c r="AL191" s="25"/>
      <c r="AM191" s="23"/>
      <c r="AN191" s="24"/>
      <c r="AO191" s="30" t="str">
        <f t="shared" si="59"/>
        <v/>
      </c>
      <c r="AP191" s="28" t="str">
        <f t="shared" si="60"/>
        <v/>
      </c>
      <c r="AQ191" s="28" t="str">
        <f t="shared" si="61"/>
        <v/>
      </c>
      <c r="AR191" s="28" t="str">
        <f t="shared" si="62"/>
        <v/>
      </c>
      <c r="AS191" s="28" t="str">
        <f t="shared" si="63"/>
        <v/>
      </c>
      <c r="AT191" s="22" t="str">
        <f t="shared" si="64"/>
        <v/>
      </c>
      <c r="AU191" s="31"/>
      <c r="AV191" s="32"/>
      <c r="AW191" s="25"/>
      <c r="AX191" s="21" t="str">
        <f t="shared" si="65"/>
        <v/>
      </c>
      <c r="AY191" s="21" t="str">
        <f>IF(AX191="","",COUNTIF(AX$5:AX191,AX191))</f>
        <v/>
      </c>
    </row>
    <row r="192" spans="1:51" ht="15" customHeight="1" x14ac:dyDescent="0.25">
      <c r="A192" s="33" t="str">
        <f t="shared" si="55"/>
        <v/>
      </c>
      <c r="B192" s="34"/>
      <c r="C192" s="35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4"/>
      <c r="U192" s="35"/>
      <c r="V192" s="37"/>
      <c r="W192" s="37"/>
      <c r="X192" s="38" t="str">
        <f t="shared" si="56"/>
        <v/>
      </c>
      <c r="Y192" s="39" t="str">
        <f t="shared" si="57"/>
        <v/>
      </c>
      <c r="Z192" s="37"/>
      <c r="AA192" s="37"/>
      <c r="AB192" s="37"/>
      <c r="AC192" s="38" t="str">
        <f t="shared" si="58"/>
        <v/>
      </c>
      <c r="AD192" s="37"/>
      <c r="AE192" s="36"/>
      <c r="AF192" s="36"/>
      <c r="AG192" s="40"/>
      <c r="AH192" s="36"/>
      <c r="AI192" s="40"/>
      <c r="AJ192" s="36"/>
      <c r="AK192" s="36"/>
      <c r="AL192" s="36"/>
      <c r="AM192" s="34"/>
      <c r="AN192" s="35"/>
      <c r="AO192" s="41" t="str">
        <f t="shared" si="59"/>
        <v/>
      </c>
      <c r="AP192" s="39" t="str">
        <f t="shared" si="60"/>
        <v/>
      </c>
      <c r="AQ192" s="39" t="str">
        <f t="shared" si="61"/>
        <v/>
      </c>
      <c r="AR192" s="39" t="str">
        <f t="shared" si="62"/>
        <v/>
      </c>
      <c r="AS192" s="39" t="str">
        <f t="shared" si="63"/>
        <v/>
      </c>
      <c r="AT192" s="33" t="str">
        <f t="shared" si="64"/>
        <v/>
      </c>
      <c r="AU192" s="31"/>
      <c r="AV192" s="32"/>
      <c r="AW192" s="36"/>
      <c r="AX192" s="21" t="str">
        <f t="shared" si="65"/>
        <v/>
      </c>
      <c r="AY192" s="21" t="str">
        <f>IF(AX192="","",COUNTIF(AX$5:AX192,AX192))</f>
        <v/>
      </c>
    </row>
    <row r="193" spans="1:51" ht="15" customHeight="1" x14ac:dyDescent="0.25">
      <c r="A193" s="22" t="str">
        <f t="shared" si="55"/>
        <v/>
      </c>
      <c r="B193" s="23"/>
      <c r="C193" s="24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3"/>
      <c r="U193" s="24"/>
      <c r="V193" s="26"/>
      <c r="W193" s="26"/>
      <c r="X193" s="27" t="str">
        <f t="shared" si="56"/>
        <v/>
      </c>
      <c r="Y193" s="28" t="str">
        <f t="shared" si="57"/>
        <v/>
      </c>
      <c r="Z193" s="26"/>
      <c r="AA193" s="26"/>
      <c r="AB193" s="26"/>
      <c r="AC193" s="27" t="str">
        <f t="shared" si="58"/>
        <v/>
      </c>
      <c r="AD193" s="26"/>
      <c r="AE193" s="25"/>
      <c r="AF193" s="25"/>
      <c r="AG193" s="29"/>
      <c r="AH193" s="25"/>
      <c r="AI193" s="29"/>
      <c r="AJ193" s="25"/>
      <c r="AK193" s="25"/>
      <c r="AL193" s="25"/>
      <c r="AM193" s="23"/>
      <c r="AN193" s="24"/>
      <c r="AO193" s="30" t="str">
        <f t="shared" si="59"/>
        <v/>
      </c>
      <c r="AP193" s="28" t="str">
        <f t="shared" si="60"/>
        <v/>
      </c>
      <c r="AQ193" s="28" t="str">
        <f t="shared" si="61"/>
        <v/>
      </c>
      <c r="AR193" s="28" t="str">
        <f t="shared" si="62"/>
        <v/>
      </c>
      <c r="AS193" s="28" t="str">
        <f t="shared" si="63"/>
        <v/>
      </c>
      <c r="AT193" s="22" t="str">
        <f t="shared" si="64"/>
        <v/>
      </c>
      <c r="AU193" s="31"/>
      <c r="AV193" s="32"/>
      <c r="AW193" s="25"/>
      <c r="AX193" s="21" t="str">
        <f t="shared" si="65"/>
        <v/>
      </c>
      <c r="AY193" s="21" t="str">
        <f>IF(AX193="","",COUNTIF(AX$5:AX193,AX193))</f>
        <v/>
      </c>
    </row>
    <row r="194" spans="1:51" ht="15" customHeight="1" x14ac:dyDescent="0.25">
      <c r="A194" s="33" t="str">
        <f t="shared" si="55"/>
        <v/>
      </c>
      <c r="B194" s="34"/>
      <c r="C194" s="35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4"/>
      <c r="U194" s="35"/>
      <c r="V194" s="37"/>
      <c r="W194" s="37"/>
      <c r="X194" s="38" t="str">
        <f t="shared" si="56"/>
        <v/>
      </c>
      <c r="Y194" s="39" t="str">
        <f t="shared" si="57"/>
        <v/>
      </c>
      <c r="Z194" s="37"/>
      <c r="AA194" s="37"/>
      <c r="AB194" s="37"/>
      <c r="AC194" s="38" t="str">
        <f t="shared" si="58"/>
        <v/>
      </c>
      <c r="AD194" s="37"/>
      <c r="AE194" s="36"/>
      <c r="AF194" s="36"/>
      <c r="AG194" s="40"/>
      <c r="AH194" s="36"/>
      <c r="AI194" s="40"/>
      <c r="AJ194" s="36"/>
      <c r="AK194" s="36"/>
      <c r="AL194" s="36"/>
      <c r="AM194" s="34"/>
      <c r="AN194" s="35"/>
      <c r="AO194" s="41" t="str">
        <f t="shared" si="59"/>
        <v/>
      </c>
      <c r="AP194" s="39" t="str">
        <f t="shared" si="60"/>
        <v/>
      </c>
      <c r="AQ194" s="39" t="str">
        <f t="shared" si="61"/>
        <v/>
      </c>
      <c r="AR194" s="39" t="str">
        <f t="shared" si="62"/>
        <v/>
      </c>
      <c r="AS194" s="39" t="str">
        <f t="shared" si="63"/>
        <v/>
      </c>
      <c r="AT194" s="33" t="str">
        <f t="shared" si="64"/>
        <v/>
      </c>
      <c r="AU194" s="31"/>
      <c r="AV194" s="32"/>
      <c r="AW194" s="36"/>
      <c r="AX194" s="21" t="str">
        <f t="shared" si="65"/>
        <v/>
      </c>
      <c r="AY194" s="21" t="str">
        <f>IF(AX194="","",COUNTIF(AX$5:AX194,AX194))</f>
        <v/>
      </c>
    </row>
    <row r="195" spans="1:51" ht="15" customHeight="1" x14ac:dyDescent="0.25">
      <c r="A195" s="22" t="str">
        <f t="shared" si="55"/>
        <v/>
      </c>
      <c r="B195" s="23"/>
      <c r="C195" s="24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3"/>
      <c r="U195" s="24"/>
      <c r="V195" s="26"/>
      <c r="W195" s="26"/>
      <c r="X195" s="27" t="str">
        <f t="shared" si="56"/>
        <v/>
      </c>
      <c r="Y195" s="28" t="str">
        <f t="shared" si="57"/>
        <v/>
      </c>
      <c r="Z195" s="26"/>
      <c r="AA195" s="26"/>
      <c r="AB195" s="26"/>
      <c r="AC195" s="27" t="str">
        <f t="shared" si="58"/>
        <v/>
      </c>
      <c r="AD195" s="26"/>
      <c r="AE195" s="25"/>
      <c r="AF195" s="25"/>
      <c r="AG195" s="29"/>
      <c r="AH195" s="25"/>
      <c r="AI195" s="29"/>
      <c r="AJ195" s="25"/>
      <c r="AK195" s="25"/>
      <c r="AL195" s="25"/>
      <c r="AM195" s="23"/>
      <c r="AN195" s="24"/>
      <c r="AO195" s="30" t="str">
        <f t="shared" si="59"/>
        <v/>
      </c>
      <c r="AP195" s="28" t="str">
        <f t="shared" si="60"/>
        <v/>
      </c>
      <c r="AQ195" s="28" t="str">
        <f t="shared" si="61"/>
        <v/>
      </c>
      <c r="AR195" s="28" t="str">
        <f t="shared" si="62"/>
        <v/>
      </c>
      <c r="AS195" s="28" t="str">
        <f t="shared" si="63"/>
        <v/>
      </c>
      <c r="AT195" s="22" t="str">
        <f t="shared" si="64"/>
        <v/>
      </c>
      <c r="AU195" s="31"/>
      <c r="AV195" s="32"/>
      <c r="AW195" s="25"/>
      <c r="AX195" s="21" t="str">
        <f t="shared" si="65"/>
        <v/>
      </c>
      <c r="AY195" s="21" t="str">
        <f>IF(AX195="","",COUNTIF(AX$5:AX195,AX195))</f>
        <v/>
      </c>
    </row>
    <row r="196" spans="1:51" ht="15" customHeight="1" x14ac:dyDescent="0.25">
      <c r="A196" s="33" t="str">
        <f t="shared" si="55"/>
        <v/>
      </c>
      <c r="B196" s="34"/>
      <c r="C196" s="35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4"/>
      <c r="U196" s="35"/>
      <c r="V196" s="37"/>
      <c r="W196" s="37"/>
      <c r="X196" s="38" t="str">
        <f t="shared" si="56"/>
        <v/>
      </c>
      <c r="Y196" s="39" t="str">
        <f t="shared" si="57"/>
        <v/>
      </c>
      <c r="Z196" s="37"/>
      <c r="AA196" s="37"/>
      <c r="AB196" s="37"/>
      <c r="AC196" s="38" t="str">
        <f t="shared" si="58"/>
        <v/>
      </c>
      <c r="AD196" s="37"/>
      <c r="AE196" s="36"/>
      <c r="AF196" s="36"/>
      <c r="AG196" s="40"/>
      <c r="AH196" s="36"/>
      <c r="AI196" s="40"/>
      <c r="AJ196" s="36"/>
      <c r="AK196" s="36"/>
      <c r="AL196" s="36"/>
      <c r="AM196" s="34"/>
      <c r="AN196" s="35"/>
      <c r="AO196" s="41" t="str">
        <f t="shared" si="59"/>
        <v/>
      </c>
      <c r="AP196" s="39" t="str">
        <f t="shared" si="60"/>
        <v/>
      </c>
      <c r="AQ196" s="39" t="str">
        <f t="shared" si="61"/>
        <v/>
      </c>
      <c r="AR196" s="39" t="str">
        <f t="shared" si="62"/>
        <v/>
      </c>
      <c r="AS196" s="39" t="str">
        <f t="shared" si="63"/>
        <v/>
      </c>
      <c r="AT196" s="33" t="str">
        <f t="shared" si="64"/>
        <v/>
      </c>
      <c r="AU196" s="31"/>
      <c r="AV196" s="32"/>
      <c r="AW196" s="36"/>
      <c r="AX196" s="21" t="str">
        <f t="shared" si="65"/>
        <v/>
      </c>
      <c r="AY196" s="21" t="str">
        <f>IF(AX196="","",COUNTIF(AX$5:AX196,AX196))</f>
        <v/>
      </c>
    </row>
    <row r="197" spans="1:51" ht="15" customHeight="1" x14ac:dyDescent="0.25">
      <c r="A197" s="22" t="str">
        <f t="shared" ref="A197:A228" si="66">IF(B197&lt;&gt;"","INC-"&amp;TEXT(ROW()-4,"0000"),"")</f>
        <v/>
      </c>
      <c r="B197" s="23"/>
      <c r="C197" s="24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3"/>
      <c r="U197" s="24"/>
      <c r="V197" s="26"/>
      <c r="W197" s="26"/>
      <c r="X197" s="27" t="str">
        <f t="shared" ref="X197:X228" si="67">IF(OR(V197&lt;&gt;"",W197&lt;&gt;""),IF(V197="",0,V197)+IF(W197="",0,W197),"")</f>
        <v/>
      </c>
      <c r="Y197" s="28" t="str">
        <f t="shared" ref="Y197:Y228" si="68">IF(X197&lt;&gt;"",X197*0.33,"")</f>
        <v/>
      </c>
      <c r="Z197" s="26"/>
      <c r="AA197" s="26"/>
      <c r="AB197" s="26"/>
      <c r="AC197" s="27" t="str">
        <f t="shared" ref="AC197:AC228" si="69">IF(OR(Z197&lt;&gt;"",AB197&lt;&gt;""),IF(Z197="",0,Z197)+IF(AB197="",0,AB197),"")</f>
        <v/>
      </c>
      <c r="AD197" s="26"/>
      <c r="AE197" s="25"/>
      <c r="AF197" s="25"/>
      <c r="AG197" s="29"/>
      <c r="AH197" s="25"/>
      <c r="AI197" s="29"/>
      <c r="AJ197" s="25"/>
      <c r="AK197" s="25"/>
      <c r="AL197" s="25"/>
      <c r="AM197" s="23"/>
      <c r="AN197" s="24"/>
      <c r="AO197" s="30" t="str">
        <f t="shared" ref="AO197:AO228" si="70">IFERROR(IF(AND(AM197&lt;&gt;"",B197&lt;&gt;""),((AM197+AN197)-(B197+C197))*24,""),"")</f>
        <v/>
      </c>
      <c r="AP197" s="28" t="str">
        <f t="shared" si="60"/>
        <v/>
      </c>
      <c r="AQ197" s="28" t="str">
        <f t="shared" ref="AQ197:AQ228" si="71">IFERROR(IF(AND(AC197&lt;&gt;"",AP197&lt;&gt;""),(AC197/60)*AP197,""),"")</f>
        <v/>
      </c>
      <c r="AR197" s="28" t="str">
        <f t="shared" si="62"/>
        <v/>
      </c>
      <c r="AS197" s="28" t="str">
        <f t="shared" ref="AS197:AS228" si="72">IFERROR(IF(OR(AQ197&lt;&gt;"",AG197&lt;&gt;"",AR197&lt;&gt;""),IF(AQ197="",0,AQ197)+IF(AG197="",0,AG197)+IF(AR197="",0,AR197),""),"")</f>
        <v/>
      </c>
      <c r="AT197" s="22" t="str">
        <f t="shared" ref="AT197:AT228" si="73">IF(AS197="","",IF(AS197&gt;150,"⚠️ REVISAR",IF(AS197&gt;80,"⚡ ATENCIÓN","✅ OK")))</f>
        <v/>
      </c>
      <c r="AU197" s="31"/>
      <c r="AV197" s="32"/>
      <c r="AW197" s="25"/>
      <c r="AX197" s="21" t="str">
        <f t="shared" si="65"/>
        <v/>
      </c>
      <c r="AY197" s="21" t="str">
        <f>IF(AX197="","",COUNTIF(AX$5:AX197,AX197))</f>
        <v/>
      </c>
    </row>
    <row r="198" spans="1:51" ht="15" customHeight="1" x14ac:dyDescent="0.25">
      <c r="A198" s="33" t="str">
        <f t="shared" si="66"/>
        <v/>
      </c>
      <c r="B198" s="34"/>
      <c r="C198" s="35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4"/>
      <c r="U198" s="35"/>
      <c r="V198" s="37"/>
      <c r="W198" s="37"/>
      <c r="X198" s="38" t="str">
        <f t="shared" si="67"/>
        <v/>
      </c>
      <c r="Y198" s="39" t="str">
        <f t="shared" si="68"/>
        <v/>
      </c>
      <c r="Z198" s="37"/>
      <c r="AA198" s="37"/>
      <c r="AB198" s="37"/>
      <c r="AC198" s="38" t="str">
        <f t="shared" si="69"/>
        <v/>
      </c>
      <c r="AD198" s="37"/>
      <c r="AE198" s="36"/>
      <c r="AF198" s="36"/>
      <c r="AG198" s="40"/>
      <c r="AH198" s="36"/>
      <c r="AI198" s="40"/>
      <c r="AJ198" s="36"/>
      <c r="AK198" s="36"/>
      <c r="AL198" s="36"/>
      <c r="AM198" s="34"/>
      <c r="AN198" s="35"/>
      <c r="AO198" s="41" t="str">
        <f t="shared" si="70"/>
        <v/>
      </c>
      <c r="AP198" s="39" t="str">
        <f t="shared" si="60"/>
        <v/>
      </c>
      <c r="AQ198" s="39" t="str">
        <f t="shared" si="71"/>
        <v/>
      </c>
      <c r="AR198" s="39" t="str">
        <f t="shared" si="62"/>
        <v/>
      </c>
      <c r="AS198" s="39" t="str">
        <f t="shared" si="72"/>
        <v/>
      </c>
      <c r="AT198" s="33" t="str">
        <f t="shared" si="73"/>
        <v/>
      </c>
      <c r="AU198" s="31"/>
      <c r="AV198" s="32"/>
      <c r="AW198" s="36"/>
      <c r="AX198" s="21" t="str">
        <f t="shared" si="65"/>
        <v/>
      </c>
      <c r="AY198" s="21" t="str">
        <f>IF(AX198="","",COUNTIF(AX$5:AX198,AX198))</f>
        <v/>
      </c>
    </row>
    <row r="199" spans="1:51" ht="15" customHeight="1" x14ac:dyDescent="0.25">
      <c r="A199" s="22" t="str">
        <f t="shared" si="66"/>
        <v/>
      </c>
      <c r="B199" s="23"/>
      <c r="C199" s="24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3"/>
      <c r="U199" s="24"/>
      <c r="V199" s="26"/>
      <c r="W199" s="26"/>
      <c r="X199" s="27" t="str">
        <f t="shared" si="67"/>
        <v/>
      </c>
      <c r="Y199" s="28" t="str">
        <f t="shared" si="68"/>
        <v/>
      </c>
      <c r="Z199" s="26"/>
      <c r="AA199" s="26"/>
      <c r="AB199" s="26"/>
      <c r="AC199" s="27" t="str">
        <f t="shared" si="69"/>
        <v/>
      </c>
      <c r="AD199" s="26"/>
      <c r="AE199" s="25"/>
      <c r="AF199" s="25"/>
      <c r="AG199" s="29"/>
      <c r="AH199" s="25"/>
      <c r="AI199" s="29"/>
      <c r="AJ199" s="25"/>
      <c r="AK199" s="25"/>
      <c r="AL199" s="25"/>
      <c r="AM199" s="23"/>
      <c r="AN199" s="24"/>
      <c r="AO199" s="30" t="str">
        <f t="shared" si="70"/>
        <v/>
      </c>
      <c r="AP199" s="28" t="str">
        <f t="shared" si="60"/>
        <v/>
      </c>
      <c r="AQ199" s="28" t="str">
        <f t="shared" si="71"/>
        <v/>
      </c>
      <c r="AR199" s="28" t="str">
        <f t="shared" si="62"/>
        <v/>
      </c>
      <c r="AS199" s="28" t="str">
        <f t="shared" si="72"/>
        <v/>
      </c>
      <c r="AT199" s="22" t="str">
        <f t="shared" si="73"/>
        <v/>
      </c>
      <c r="AU199" s="31"/>
      <c r="AV199" s="32"/>
      <c r="AW199" s="25"/>
      <c r="AX199" s="21" t="str">
        <f t="shared" si="65"/>
        <v/>
      </c>
      <c r="AY199" s="21" t="str">
        <f>IF(AX199="","",COUNTIF(AX$5:AX199,AX199))</f>
        <v/>
      </c>
    </row>
    <row r="200" spans="1:51" ht="15" customHeight="1" x14ac:dyDescent="0.25">
      <c r="A200" s="33" t="str">
        <f t="shared" si="66"/>
        <v/>
      </c>
      <c r="B200" s="34"/>
      <c r="C200" s="35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4"/>
      <c r="U200" s="35"/>
      <c r="V200" s="37"/>
      <c r="W200" s="37"/>
      <c r="X200" s="38" t="str">
        <f t="shared" si="67"/>
        <v/>
      </c>
      <c r="Y200" s="39" t="str">
        <f t="shared" si="68"/>
        <v/>
      </c>
      <c r="Z200" s="37"/>
      <c r="AA200" s="37"/>
      <c r="AB200" s="37"/>
      <c r="AC200" s="38" t="str">
        <f t="shared" si="69"/>
        <v/>
      </c>
      <c r="AD200" s="37"/>
      <c r="AE200" s="36"/>
      <c r="AF200" s="36"/>
      <c r="AG200" s="40"/>
      <c r="AH200" s="36"/>
      <c r="AI200" s="40"/>
      <c r="AJ200" s="36"/>
      <c r="AK200" s="36"/>
      <c r="AL200" s="36"/>
      <c r="AM200" s="34"/>
      <c r="AN200" s="35"/>
      <c r="AO200" s="41" t="str">
        <f t="shared" si="70"/>
        <v/>
      </c>
      <c r="AP200" s="39" t="str">
        <f t="shared" si="60"/>
        <v/>
      </c>
      <c r="AQ200" s="39" t="str">
        <f t="shared" si="71"/>
        <v/>
      </c>
      <c r="AR200" s="39" t="str">
        <f t="shared" si="62"/>
        <v/>
      </c>
      <c r="AS200" s="39" t="str">
        <f t="shared" si="72"/>
        <v/>
      </c>
      <c r="AT200" s="33" t="str">
        <f t="shared" si="73"/>
        <v/>
      </c>
      <c r="AU200" s="31"/>
      <c r="AV200" s="32"/>
      <c r="AW200" s="36"/>
      <c r="AX200" s="21" t="str">
        <f t="shared" si="65"/>
        <v/>
      </c>
      <c r="AY200" s="21" t="str">
        <f>IF(AX200="","",COUNTIF(AX$5:AX200,AX200))</f>
        <v/>
      </c>
    </row>
  </sheetData>
  <autoFilter ref="A4:AW200" xr:uid="{00000000-0009-0000-0000-000000000000}"/>
  <mergeCells count="8">
    <mergeCell ref="A1:AW1"/>
    <mergeCell ref="A2:AW2"/>
    <mergeCell ref="A3:J3"/>
    <mergeCell ref="K3:R3"/>
    <mergeCell ref="S3:U3"/>
    <mergeCell ref="V3:AE3"/>
    <mergeCell ref="AF3:AJ3"/>
    <mergeCell ref="AK3:AW3"/>
  </mergeCells>
  <conditionalFormatting sqref="A5:AV200">
    <cfRule type="expression" dxfId="47" priority="6">
      <formula>OR(ISNUMBER(SEARCH("Resuelta",$AK5)),ISNUMBER(SEARCH("Cerrada",$AK5)))</formula>
    </cfRule>
    <cfRule type="expression" dxfId="46" priority="7">
      <formula>OR(ISNUMBER(SEARCH("Pospuesta",$AK5)),ISNUMBER(SEARCH("Espera",$AK5)))</formula>
    </cfRule>
    <cfRule type="expression" dxfId="45" priority="8">
      <formula>ISNUMBER(SEARCH("No resuelta",$AK5))</formula>
    </cfRule>
  </conditionalFormatting>
  <conditionalFormatting sqref="L5:L200">
    <cfRule type="expression" dxfId="44" priority="2">
      <formula>NOT(ISERROR(SEARCH("CRÍTICA",L5)))</formula>
    </cfRule>
    <cfRule type="expression" dxfId="43" priority="3">
      <formula>NOT(ISERROR(SEARCH("ALTA",L5)))</formula>
    </cfRule>
    <cfRule type="expression" dxfId="42" priority="4">
      <formula>NOT(ISERROR(SEARCH("MEDIA",L5)))</formula>
    </cfRule>
    <cfRule type="expression" dxfId="41" priority="5">
      <formula>NOT(ISERROR(SEARCH("BAJA",L5)))</formula>
    </cfRule>
  </conditionalFormatting>
  <conditionalFormatting sqref="AD5:AD200">
    <cfRule type="expression" dxfId="40" priority="9">
      <formula>AD5&gt;1</formula>
    </cfRule>
  </conditionalFormatting>
  <dataValidations count="13">
    <dataValidation type="list" allowBlank="1" error="Selecciona un valor de la lista" prompt="Selecciona de la lista" sqref="K5:K200" xr:uid="{00000000-0002-0000-0000-000000000000}">
      <formula1>"Avería sistema alarma,Avería cámaras/CCTV,Avería grabador/NVR,Fallo comunicación,Fallo alimentación,Avería analítica,Avería detector,Mantenimiento preventivo,Instalación nueva,Ampliación sistema,Revisión periódica,Otros"</formula1>
      <formula2>0</formula2>
    </dataValidation>
    <dataValidation type="list" allowBlank="1" error="Selecciona un valor de la lista" prompt="Selecciona de la lista" sqref="L5:L200" xr:uid="{00000000-0002-0000-0000-000001000000}">
      <formula1>"🔴 CRÍTICA,🟠 ALTA,🟡 MEDIA,🟢 BAJA"</formula1>
      <formula2>0</formula2>
    </dataValidation>
    <dataValidation type="list" allowBlank="1" error="Selecciona un valor de la lista" prompt="Selecciona de la lista" sqref="M5:M200" xr:uid="{00000000-0002-0000-0000-000002000000}">
      <formula1>"Iberdesk,Receptora día,Receptora noche,Administración,Coordinación,Cliente directo,Técnico campo,Gerente,Mant. programado"</formula1>
      <formula2>0</formula2>
    </dataValidation>
    <dataValidation type="list" allowBlank="1" error="Selecciona un valor de la lista" prompt="Selecciona de la lista" sqref="N5:N200" xr:uid="{00000000-0002-0000-0000-000003000000}">
      <formula1>"Administración,Coordinación,Receptora,Técnico campo,Gerente"</formula1>
      <formula2>0</formula2>
    </dataValidation>
    <dataValidation type="list" allowBlank="1" error="Selecciona un valor de la lista" prompt="Selecciona de la lista" sqref="O5:O200" xr:uid="{00000000-0002-0000-0000-000004000000}">
      <formula1>"CCTV/Cámaras,Grabador NVR/DVR,Panel alarma,Detectores/Sensores,Comunicaciones GSM/IP,Alimentación/SAI,Analítica vídeo,Software CRA,Cerraduras/Control acceso,Sirena/Disuasorios,Cableado,Otros"</formula1>
      <formula2>0</formula2>
    </dataValidation>
    <dataValidation type="list" allowBlank="1" error="Selecciona un valor de la lista" prompt="Selecciona de la lista" sqref="S5:S200" xr:uid="{00000000-0002-0000-0000-000005000000}">
      <formula1>"Raúl,Juan Luis,Paco,Juan Manuel,Adrián"</formula1>
      <formula2>0</formula2>
    </dataValidation>
    <dataValidation type="list" allowBlank="1" error="Selecciona un valor de la lista" prompt="Selecciona de la lista" sqref="AD5:AD200" xr:uid="{00000000-0002-0000-0000-000006000000}">
      <formula1>"1,2,3,4,5,6,7,8,9,10"</formula1>
      <formula2>0</formula2>
    </dataValidation>
    <dataValidation type="list" allowBlank="1" error="Selecciona un valor de la lista" prompt="Selecciona de la lista" sqref="AE5:AE200" xr:uid="{00000000-0002-0000-0000-000007000000}">
      <formula1>"Fallo del técnico,Falta de material,Material incorrecto,Causa del cliente,Ampliación de trabajo,Continuar instalación,Avería recurrente,Cambio de presupuesto,Condiciones meteorológicas,Acceso denegado,Otro motivo"</formula1>
      <formula2>0</formula2>
    </dataValidation>
    <dataValidation type="list" allowBlank="1" error="Selecciona un valor de la lista" prompt="Selecciona de la lista" sqref="AH5:AH200" xr:uid="{00000000-0002-0000-0000-000008000000}">
      <formula1>"Sí,No"</formula1>
      <formula2>0</formula2>
    </dataValidation>
    <dataValidation type="list" allowBlank="1" error="Selecciona un valor de la lista" prompt="Selecciona de la lista" sqref="AJ5:AJ200" xr:uid="{00000000-0002-0000-0000-000009000000}">
      <formula1>"✅ Aceptado,❌ Rechazado,⏳ Pendiente,N/A"</formula1>
      <formula2>0</formula2>
    </dataValidation>
    <dataValidation type="list" allowBlank="1" error="Selecciona un valor de la lista" prompt="Selecciona de la lista" sqref="AK5:AK200" xr:uid="{00000000-0002-0000-0000-00000A000000}">
      <formula1>"⬜ Pendiente,🔄 Asignada,🚗 En desplazamiento,🔧 En ejecución,⏸ Pospuesta,💰 Espera presupuesto,⏸ Espera material,✅ Resuelta,❌ No resuelta,📋 Cerrada"</formula1>
      <formula2>0</formula2>
    </dataValidation>
    <dataValidation type="list" allowBlank="1" error="Selecciona un valor de la lista" prompt="Selecciona de la lista" sqref="AL5:AL200" xr:uid="{00000000-0002-0000-0000-00000B000000}">
      <formula1>"✅ Resuelta OK,❌ No resuelta,⏸ Pendiente revisita,🔄 En curso,📋 Cerrada sin resolver"</formula1>
      <formula2>0</formula2>
    </dataValidation>
    <dataValidation type="list" allowBlank="1" sqref="AV5:AV200" xr:uid="{00000000-0002-0000-0000-00000C000000}">
      <formula1>"Adrián,Christian,Alejandro"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</sheetPr>
  <dimension ref="A1:E23"/>
  <sheetViews>
    <sheetView zoomScaleNormal="100" workbookViewId="0">
      <selection sqref="A1:E1"/>
    </sheetView>
  </sheetViews>
  <sheetFormatPr baseColWidth="10" defaultColWidth="8.7109375" defaultRowHeight="15" x14ac:dyDescent="0.25"/>
  <cols>
    <col min="1" max="1" width="18" customWidth="1"/>
    <col min="2" max="3" width="22" customWidth="1"/>
    <col min="4" max="4" width="28" customWidth="1"/>
    <col min="5" max="5" width="14" customWidth="1"/>
  </cols>
  <sheetData>
    <row r="1" spans="1:5" ht="36" customHeight="1" x14ac:dyDescent="0.25">
      <c r="A1" s="14" t="s">
        <v>58</v>
      </c>
      <c r="B1" s="14"/>
      <c r="C1" s="14"/>
      <c r="D1" s="14"/>
      <c r="E1" s="14"/>
    </row>
    <row r="2" spans="1:5" ht="27.75" customHeight="1" x14ac:dyDescent="0.25">
      <c r="A2" s="6" t="s">
        <v>59</v>
      </c>
      <c r="B2" s="6"/>
      <c r="C2" s="6"/>
      <c r="D2" s="6"/>
      <c r="E2" s="6"/>
    </row>
    <row r="4" spans="1:5" ht="37.5" customHeight="1" x14ac:dyDescent="0.25">
      <c r="A4" s="42" t="s">
        <v>60</v>
      </c>
      <c r="B4" s="43">
        <v>46069</v>
      </c>
    </row>
    <row r="6" spans="1:5" ht="15" customHeight="1" x14ac:dyDescent="0.25">
      <c r="A6" s="44" t="s">
        <v>61</v>
      </c>
      <c r="B6" s="44" t="s">
        <v>62</v>
      </c>
      <c r="C6" s="44" t="s">
        <v>63</v>
      </c>
      <c r="D6" s="44" t="s">
        <v>64</v>
      </c>
      <c r="E6" s="44" t="s">
        <v>65</v>
      </c>
    </row>
    <row r="7" spans="1:5" ht="27.75" customHeight="1" x14ac:dyDescent="0.25">
      <c r="A7" s="45" t="s">
        <v>66</v>
      </c>
      <c r="B7" s="46">
        <f>B4+0</f>
        <v>46069</v>
      </c>
      <c r="C7" s="47"/>
      <c r="D7" s="48"/>
      <c r="E7" s="49">
        <f>COUNTIF('Registro Incidencias'!T$5:T$200,B7)</f>
        <v>0</v>
      </c>
    </row>
    <row r="8" spans="1:5" ht="27.75" customHeight="1" x14ac:dyDescent="0.25">
      <c r="A8" s="50" t="s">
        <v>67</v>
      </c>
      <c r="B8" s="46">
        <f>B4+1</f>
        <v>46070</v>
      </c>
      <c r="C8" s="47"/>
      <c r="D8" s="48"/>
      <c r="E8" s="49">
        <f>COUNTIF('Registro Incidencias'!T$5:T$200,B8)</f>
        <v>0</v>
      </c>
    </row>
    <row r="9" spans="1:5" ht="27.75" customHeight="1" x14ac:dyDescent="0.25">
      <c r="A9" s="51" t="s">
        <v>68</v>
      </c>
      <c r="B9" s="46">
        <f>B4+2</f>
        <v>46071</v>
      </c>
      <c r="C9" s="47"/>
      <c r="D9" s="48"/>
      <c r="E9" s="49">
        <f>COUNTIF('Registro Incidencias'!T$5:T$200,B9)</f>
        <v>0</v>
      </c>
    </row>
    <row r="10" spans="1:5" ht="27.75" customHeight="1" x14ac:dyDescent="0.25">
      <c r="A10" s="52" t="s">
        <v>69</v>
      </c>
      <c r="B10" s="46">
        <f>B4+3</f>
        <v>46072</v>
      </c>
      <c r="C10" s="47"/>
      <c r="D10" s="48"/>
      <c r="E10" s="49">
        <f>COUNTIF('Registro Incidencias'!T$5:T$200,B10)</f>
        <v>0</v>
      </c>
    </row>
    <row r="11" spans="1:5" ht="27.75" customHeight="1" x14ac:dyDescent="0.25">
      <c r="A11" s="53" t="s">
        <v>70</v>
      </c>
      <c r="B11" s="46">
        <f>B4+4</f>
        <v>46073</v>
      </c>
      <c r="C11" s="47"/>
      <c r="D11" s="48"/>
      <c r="E11" s="49">
        <f>COUNTIF('Registro Incidencias'!T$5:T$200,B11)</f>
        <v>0</v>
      </c>
    </row>
    <row r="12" spans="1:5" ht="27.75" customHeight="1" x14ac:dyDescent="0.25">
      <c r="A12" s="54" t="s">
        <v>71</v>
      </c>
      <c r="B12" s="46">
        <f>B4+5</f>
        <v>46074</v>
      </c>
      <c r="C12" s="47"/>
      <c r="D12" s="48"/>
      <c r="E12" s="49">
        <f>COUNTIF('Registro Incidencias'!T$5:T$200,B12)</f>
        <v>0</v>
      </c>
    </row>
    <row r="13" spans="1:5" ht="27.75" customHeight="1" x14ac:dyDescent="0.25">
      <c r="A13" s="55" t="s">
        <v>72</v>
      </c>
      <c r="B13" s="46">
        <f>B4+6</f>
        <v>46075</v>
      </c>
      <c r="C13" s="47"/>
      <c r="D13" s="48"/>
      <c r="E13" s="49">
        <f>COUNTIF('Registro Incidencias'!T$5:T$200,B13)</f>
        <v>0</v>
      </c>
    </row>
    <row r="15" spans="1:5" ht="15" customHeight="1" x14ac:dyDescent="0.25">
      <c r="A15" s="10" t="s">
        <v>73</v>
      </c>
      <c r="B15" s="10"/>
      <c r="C15" s="10"/>
    </row>
    <row r="16" spans="1:5" ht="15" customHeight="1" x14ac:dyDescent="0.25">
      <c r="A16" s="44" t="s">
        <v>74</v>
      </c>
      <c r="B16" s="44" t="s">
        <v>75</v>
      </c>
      <c r="C16" s="44" t="s">
        <v>76</v>
      </c>
    </row>
    <row r="17" spans="1:3" ht="15" customHeight="1" x14ac:dyDescent="0.25">
      <c r="A17" s="56" t="s">
        <v>77</v>
      </c>
      <c r="B17" s="57">
        <v>15.8</v>
      </c>
      <c r="C17" s="48"/>
    </row>
    <row r="18" spans="1:3" ht="15" customHeight="1" x14ac:dyDescent="0.25">
      <c r="A18" s="56" t="s">
        <v>78</v>
      </c>
      <c r="B18" s="57">
        <v>17.5</v>
      </c>
      <c r="C18" s="48"/>
    </row>
    <row r="19" spans="1:3" ht="15" customHeight="1" x14ac:dyDescent="0.25">
      <c r="A19" s="56" t="s">
        <v>79</v>
      </c>
      <c r="B19" s="57">
        <v>13.5</v>
      </c>
      <c r="C19" s="48"/>
    </row>
    <row r="20" spans="1:3" ht="15" customHeight="1" x14ac:dyDescent="0.25">
      <c r="A20" s="56" t="s">
        <v>80</v>
      </c>
      <c r="B20" s="57">
        <v>18.899999999999999</v>
      </c>
      <c r="C20" s="48"/>
    </row>
    <row r="21" spans="1:3" ht="15" customHeight="1" x14ac:dyDescent="0.25">
      <c r="A21" s="56" t="s">
        <v>81</v>
      </c>
      <c r="B21" s="57">
        <v>13.5</v>
      </c>
      <c r="C21" s="48"/>
    </row>
    <row r="23" spans="1:3" ht="18" customHeight="1" x14ac:dyDescent="0.25">
      <c r="A23" s="58" t="s">
        <v>82</v>
      </c>
      <c r="B23" s="59">
        <v>0.33</v>
      </c>
    </row>
  </sheetData>
  <mergeCells count="3">
    <mergeCell ref="A1:E1"/>
    <mergeCell ref="A2:E2"/>
    <mergeCell ref="A15:C15"/>
  </mergeCells>
  <dataValidations count="1">
    <dataValidation type="list" sqref="C7:C13" xr:uid="{00000000-0002-0000-0100-000000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B5EA7"/>
  </sheetPr>
  <dimension ref="A1:S83"/>
  <sheetViews>
    <sheetView zoomScaleNormal="100" workbookViewId="0">
      <pane ySplit="2" topLeftCell="A3" activePane="bottomLeft" state="frozen"/>
      <selection pane="bottomLeft" sqref="A1:S1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11" customWidth="1"/>
    <col min="4" max="4" width="12" customWidth="1"/>
    <col min="5" max="5" width="10" customWidth="1"/>
    <col min="6" max="6" width="22" customWidth="1"/>
    <col min="7" max="7" width="24" customWidth="1"/>
    <col min="8" max="8" width="13" customWidth="1"/>
    <col min="9" max="9" width="14" customWidth="1"/>
    <col min="10" max="10" width="24" customWidth="1"/>
    <col min="11" max="11" width="22" customWidth="1"/>
    <col min="12" max="12" width="10" customWidth="1"/>
    <col min="13" max="13" width="7" customWidth="1"/>
    <col min="14" max="14" width="20" customWidth="1"/>
    <col min="15" max="15" width="13" customWidth="1"/>
    <col min="16" max="16" width="28" customWidth="1"/>
    <col min="17" max="17" width="14" customWidth="1"/>
    <col min="18" max="18" width="16" customWidth="1"/>
    <col min="19" max="19" width="18" customWidth="1"/>
  </cols>
  <sheetData>
    <row r="1" spans="1:19" ht="42" customHeight="1" x14ac:dyDescent="0.25">
      <c r="A1" s="5" t="s">
        <v>83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25.5" customHeight="1" x14ac:dyDescent="0.25">
      <c r="A2" s="13" t="s">
        <v>84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30" customHeight="1" x14ac:dyDescent="0.25">
      <c r="A3" s="4" t="str">
        <f>TEXT('📅 Semana'!B$7,"DDDD")&amp;"  —  "&amp;TEXT('📅 Semana'!B$7,"DD/MM/")&amp;"2026"</f>
        <v>lunes  —  16/02/2026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30" customHeight="1" x14ac:dyDescent="0.25">
      <c r="A4" s="60" t="s">
        <v>85</v>
      </c>
      <c r="B4" s="60" t="s">
        <v>86</v>
      </c>
      <c r="C4" s="60" t="s">
        <v>18</v>
      </c>
      <c r="D4" s="60" t="s">
        <v>87</v>
      </c>
      <c r="E4" s="60" t="s">
        <v>88</v>
      </c>
      <c r="F4" s="60" t="s">
        <v>89</v>
      </c>
      <c r="G4" s="60" t="s">
        <v>13</v>
      </c>
      <c r="H4" s="60" t="s">
        <v>14</v>
      </c>
      <c r="I4" s="60" t="s">
        <v>90</v>
      </c>
      <c r="J4" s="60" t="s">
        <v>91</v>
      </c>
      <c r="K4" s="60" t="s">
        <v>92</v>
      </c>
      <c r="L4" s="60" t="s">
        <v>93</v>
      </c>
      <c r="M4" s="60" t="s">
        <v>94</v>
      </c>
      <c r="N4" s="60" t="s">
        <v>37</v>
      </c>
      <c r="O4" s="60" t="s">
        <v>43</v>
      </c>
      <c r="P4" s="61" t="s">
        <v>95</v>
      </c>
      <c r="Q4" s="61" t="s">
        <v>96</v>
      </c>
      <c r="R4" s="61" t="s">
        <v>97</v>
      </c>
      <c r="S4" s="61" t="s">
        <v>98</v>
      </c>
    </row>
    <row r="5" spans="1:19" ht="15" customHeight="1" x14ac:dyDescent="0.25">
      <c r="A5" s="25" t="str">
        <f>IFERROR(MATCH(1,INDEX(('Registro Incidencias'!AX$5:AX$200="Raúl"&amp;TEXT('📅 Semana'!B$7,"YYYYMMDD"))*('Registro Incidencias'!AY$5:AY$200=1),),0),"")</f>
        <v/>
      </c>
      <c r="B5" s="62" t="str">
        <f>IF(A5="","",INDEX('Registro Incidencias'!U$5:U$200,A5))</f>
        <v/>
      </c>
      <c r="C5" s="22" t="str">
        <f>IF(A5="","",INDEX('Registro Incidencias'!L$5:L$200,A5))</f>
        <v/>
      </c>
      <c r="D5" s="22" t="str">
        <f>IF(A5="","",INDEX('Registro Incidencias'!A$5:A$200,A5))</f>
        <v/>
      </c>
      <c r="E5" s="22" t="str">
        <f>IF(A5="","",INDEX('Registro Incidencias'!D$5:D$200,A5))</f>
        <v/>
      </c>
      <c r="F5" s="25" t="str">
        <f>IF(A5="","",INDEX('Registro Incidencias'!F$5:F$200,A5))</f>
        <v/>
      </c>
      <c r="G5" s="25" t="str">
        <f>IF(A5="","",INDEX('Registro Incidencias'!G$5:G$200,A5))</f>
        <v/>
      </c>
      <c r="H5" s="25" t="str">
        <f>IF(A5="","",INDEX('Registro Incidencias'!H$5:H$200,A5))</f>
        <v/>
      </c>
      <c r="I5" s="25" t="str">
        <f>IF(A5="","",INDEX('Registro Incidencias'!O$5:O$200,A5))</f>
        <v/>
      </c>
      <c r="J5" s="25" t="str">
        <f>IF(A5="","",INDEX('Registro Incidencias'!R$5:R$200,A5))</f>
        <v/>
      </c>
      <c r="K5" s="25" t="str">
        <f>IF(A5="","",INDEX('Registro Incidencias'!AF$5:AF$200,A5))</f>
        <v/>
      </c>
      <c r="L5" s="28" t="str">
        <f>IF(A5="","",INDEX('Registro Incidencias'!AI$5:AI$200,A5))</f>
        <v/>
      </c>
      <c r="M5" s="27" t="str">
        <f>IF(A5="","",INDEX('Registro Incidencias'!AD$5:AD$200,A5))</f>
        <v/>
      </c>
      <c r="N5" s="25" t="str">
        <f>IF(A5="","",INDEX('Registro Incidencias'!AE$5:AE$200,A5))</f>
        <v/>
      </c>
      <c r="O5" s="22" t="str">
        <f>IF(A5="","",INDEX('Registro Incidencias'!AK$5:AK$200,A5))</f>
        <v/>
      </c>
      <c r="P5" s="63" t="str">
        <f>IF(A5="","",INDEX('Registro Incidencias'!AU$5:AU$200,A5))</f>
        <v/>
      </c>
      <c r="Q5" s="32" t="str">
        <f>IF(A5="","",INDEX('Registro Incidencias'!AV$5:AV$200,A5))</f>
        <v/>
      </c>
      <c r="R5" s="32"/>
      <c r="S5" s="32"/>
    </row>
    <row r="6" spans="1:19" ht="15" customHeight="1" x14ac:dyDescent="0.25">
      <c r="A6" s="36" t="str">
        <f>IFERROR(MATCH(1,INDEX(('Registro Incidencias'!AX$5:AX$200="Raúl"&amp;TEXT('📅 Semana'!B$7,"YYYYMMDD"))*('Registro Incidencias'!AY$5:AY$200=2),),0),"")</f>
        <v/>
      </c>
      <c r="B6" s="64" t="str">
        <f>IF(A6="","",INDEX('Registro Incidencias'!U$5:U$200,A6))</f>
        <v/>
      </c>
      <c r="C6" s="33" t="str">
        <f>IF(A6="","",INDEX('Registro Incidencias'!L$5:L$200,A6))</f>
        <v/>
      </c>
      <c r="D6" s="33" t="str">
        <f>IF(A6="","",INDEX('Registro Incidencias'!A$5:A$200,A6))</f>
        <v/>
      </c>
      <c r="E6" s="33" t="str">
        <f>IF(A6="","",INDEX('Registro Incidencias'!D$5:D$200,A6))</f>
        <v/>
      </c>
      <c r="F6" s="36" t="str">
        <f>IF(A6="","",INDEX('Registro Incidencias'!F$5:F$200,A6))</f>
        <v/>
      </c>
      <c r="G6" s="36" t="str">
        <f>IF(A6="","",INDEX('Registro Incidencias'!G$5:G$200,A6))</f>
        <v/>
      </c>
      <c r="H6" s="36" t="str">
        <f>IF(A6="","",INDEX('Registro Incidencias'!H$5:H$200,A6))</f>
        <v/>
      </c>
      <c r="I6" s="36" t="str">
        <f>IF(A6="","",INDEX('Registro Incidencias'!O$5:O$200,A6))</f>
        <v/>
      </c>
      <c r="J6" s="36" t="str">
        <f>IF(A6="","",INDEX('Registro Incidencias'!R$5:R$200,A6))</f>
        <v/>
      </c>
      <c r="K6" s="36" t="str">
        <f>IF(A6="","",INDEX('Registro Incidencias'!AF$5:AF$200,A6))</f>
        <v/>
      </c>
      <c r="L6" s="39" t="str">
        <f>IF(A6="","",INDEX('Registro Incidencias'!AI$5:AI$200,A6))</f>
        <v/>
      </c>
      <c r="M6" s="33" t="str">
        <f>IF(A6="","",INDEX('Registro Incidencias'!AD$5:AD$200,A6))</f>
        <v/>
      </c>
      <c r="N6" s="36" t="str">
        <f>IF(A6="","",INDEX('Registro Incidencias'!AE$5:AE$200,A6))</f>
        <v/>
      </c>
      <c r="O6" s="33" t="str">
        <f>IF(A6="","",INDEX('Registro Incidencias'!AK$5:AK$200,A6))</f>
        <v/>
      </c>
      <c r="P6" s="63" t="str">
        <f>IF(A6="","",INDEX('Registro Incidencias'!AU$5:AU$200,A6))</f>
        <v/>
      </c>
      <c r="Q6" s="32" t="str">
        <f>IF(A6="","",INDEX('Registro Incidencias'!AV$5:AV$200,A6))</f>
        <v/>
      </c>
      <c r="R6" s="32"/>
      <c r="S6" s="32"/>
    </row>
    <row r="7" spans="1:19" ht="15" customHeight="1" x14ac:dyDescent="0.25">
      <c r="A7" s="25" t="str">
        <f>IFERROR(MATCH(1,INDEX(('Registro Incidencias'!AX$5:AX$200="Raúl"&amp;TEXT('📅 Semana'!B$7,"YYYYMMDD"))*('Registro Incidencias'!AY$5:AY$200=3),),0),"")</f>
        <v/>
      </c>
      <c r="B7" s="62" t="str">
        <f>IF(A7="","",INDEX('Registro Incidencias'!U$5:U$200,A7))</f>
        <v/>
      </c>
      <c r="C7" s="22" t="str">
        <f>IF(A7="","",INDEX('Registro Incidencias'!L$5:L$200,A7))</f>
        <v/>
      </c>
      <c r="D7" s="22" t="str">
        <f>IF(A7="","",INDEX('Registro Incidencias'!A$5:A$200,A7))</f>
        <v/>
      </c>
      <c r="E7" s="22" t="str">
        <f>IF(A7="","",INDEX('Registro Incidencias'!D$5:D$200,A7))</f>
        <v/>
      </c>
      <c r="F7" s="25" t="str">
        <f>IF(A7="","",INDEX('Registro Incidencias'!F$5:F$200,A7))</f>
        <v/>
      </c>
      <c r="G7" s="25" t="str">
        <f>IF(A7="","",INDEX('Registro Incidencias'!G$5:G$200,A7))</f>
        <v/>
      </c>
      <c r="H7" s="25" t="str">
        <f>IF(A7="","",INDEX('Registro Incidencias'!H$5:H$200,A7))</f>
        <v/>
      </c>
      <c r="I7" s="25" t="str">
        <f>IF(A7="","",INDEX('Registro Incidencias'!O$5:O$200,A7))</f>
        <v/>
      </c>
      <c r="J7" s="25" t="str">
        <f>IF(A7="","",INDEX('Registro Incidencias'!R$5:R$200,A7))</f>
        <v/>
      </c>
      <c r="K7" s="25" t="str">
        <f>IF(A7="","",INDEX('Registro Incidencias'!AF$5:AF$200,A7))</f>
        <v/>
      </c>
      <c r="L7" s="28" t="str">
        <f>IF(A7="","",INDEX('Registro Incidencias'!AI$5:AI$200,A7))</f>
        <v/>
      </c>
      <c r="M7" s="22" t="str">
        <f>IF(A7="","",INDEX('Registro Incidencias'!AD$5:AD$200,A7))</f>
        <v/>
      </c>
      <c r="N7" s="25" t="str">
        <f>IF(A7="","",INDEX('Registro Incidencias'!AE$5:AE$200,A7))</f>
        <v/>
      </c>
      <c r="O7" s="22" t="str">
        <f>IF(A7="","",INDEX('Registro Incidencias'!AK$5:AK$200,A7))</f>
        <v/>
      </c>
      <c r="P7" s="63" t="str">
        <f>IF(A7="","",INDEX('Registro Incidencias'!AU$5:AU$200,A7))</f>
        <v/>
      </c>
      <c r="Q7" s="32" t="str">
        <f>IF(A7="","",INDEX('Registro Incidencias'!AV$5:AV$200,A7))</f>
        <v/>
      </c>
      <c r="R7" s="32"/>
      <c r="S7" s="32"/>
    </row>
    <row r="8" spans="1:19" ht="15" customHeight="1" x14ac:dyDescent="0.25">
      <c r="A8" s="36" t="str">
        <f>IFERROR(MATCH(1,INDEX(('Registro Incidencias'!AX$5:AX$200="Raúl"&amp;TEXT('📅 Semana'!B$7,"YYYYMMDD"))*('Registro Incidencias'!AY$5:AY$200=4),),0),"")</f>
        <v/>
      </c>
      <c r="B8" s="64" t="str">
        <f>IF(A8="","",INDEX('Registro Incidencias'!U$5:U$200,A8))</f>
        <v/>
      </c>
      <c r="C8" s="33" t="str">
        <f>IF(A8="","",INDEX('Registro Incidencias'!L$5:L$200,A8))</f>
        <v/>
      </c>
      <c r="D8" s="33" t="str">
        <f>IF(A8="","",INDEX('Registro Incidencias'!A$5:A$200,A8))</f>
        <v/>
      </c>
      <c r="E8" s="33" t="str">
        <f>IF(A8="","",INDEX('Registro Incidencias'!D$5:D$200,A8))</f>
        <v/>
      </c>
      <c r="F8" s="36" t="str">
        <f>IF(A8="","",INDEX('Registro Incidencias'!F$5:F$200,A8))</f>
        <v/>
      </c>
      <c r="G8" s="36" t="str">
        <f>IF(A8="","",INDEX('Registro Incidencias'!G$5:G$200,A8))</f>
        <v/>
      </c>
      <c r="H8" s="36" t="str">
        <f>IF(A8="","",INDEX('Registro Incidencias'!H$5:H$200,A8))</f>
        <v/>
      </c>
      <c r="I8" s="36" t="str">
        <f>IF(A8="","",INDEX('Registro Incidencias'!O$5:O$200,A8))</f>
        <v/>
      </c>
      <c r="J8" s="36" t="str">
        <f>IF(A8="","",INDEX('Registro Incidencias'!R$5:R$200,A8))</f>
        <v/>
      </c>
      <c r="K8" s="36" t="str">
        <f>IF(A8="","",INDEX('Registro Incidencias'!AF$5:AF$200,A8))</f>
        <v/>
      </c>
      <c r="L8" s="39" t="str">
        <f>IF(A8="","",INDEX('Registro Incidencias'!AI$5:AI$200,A8))</f>
        <v/>
      </c>
      <c r="M8" s="33" t="str">
        <f>IF(A8="","",INDEX('Registro Incidencias'!AD$5:AD$200,A8))</f>
        <v/>
      </c>
      <c r="N8" s="36" t="str">
        <f>IF(A8="","",INDEX('Registro Incidencias'!AE$5:AE$200,A8))</f>
        <v/>
      </c>
      <c r="O8" s="33" t="str">
        <f>IF(A8="","",INDEX('Registro Incidencias'!AK$5:AK$200,A8))</f>
        <v/>
      </c>
      <c r="P8" s="63" t="str">
        <f>IF(A8="","",INDEX('Registro Incidencias'!AU$5:AU$200,A8))</f>
        <v/>
      </c>
      <c r="Q8" s="32" t="str">
        <f>IF(A8="","",INDEX('Registro Incidencias'!AV$5:AV$200,A8))</f>
        <v/>
      </c>
      <c r="R8" s="32"/>
      <c r="S8" s="32"/>
    </row>
    <row r="9" spans="1:19" ht="15" customHeight="1" x14ac:dyDescent="0.25">
      <c r="A9" s="25" t="str">
        <f>IFERROR(MATCH(1,INDEX(('Registro Incidencias'!AX$5:AX$200="Raúl"&amp;TEXT('📅 Semana'!B$7,"YYYYMMDD"))*('Registro Incidencias'!AY$5:AY$200=5),),0),"")</f>
        <v/>
      </c>
      <c r="B9" s="62" t="str">
        <f>IF(A9="","",INDEX('Registro Incidencias'!U$5:U$200,A9))</f>
        <v/>
      </c>
      <c r="C9" s="22" t="str">
        <f>IF(A9="","",INDEX('Registro Incidencias'!L$5:L$200,A9))</f>
        <v/>
      </c>
      <c r="D9" s="22" t="str">
        <f>IF(A9="","",INDEX('Registro Incidencias'!A$5:A$200,A9))</f>
        <v/>
      </c>
      <c r="E9" s="22" t="str">
        <f>IF(A9="","",INDEX('Registro Incidencias'!D$5:D$200,A9))</f>
        <v/>
      </c>
      <c r="F9" s="25" t="str">
        <f>IF(A9="","",INDEX('Registro Incidencias'!F$5:F$200,A9))</f>
        <v/>
      </c>
      <c r="G9" s="25" t="str">
        <f>IF(A9="","",INDEX('Registro Incidencias'!G$5:G$200,A9))</f>
        <v/>
      </c>
      <c r="H9" s="25" t="str">
        <f>IF(A9="","",INDEX('Registro Incidencias'!H$5:H$200,A9))</f>
        <v/>
      </c>
      <c r="I9" s="25" t="str">
        <f>IF(A9="","",INDEX('Registro Incidencias'!O$5:O$200,A9))</f>
        <v/>
      </c>
      <c r="J9" s="25" t="str">
        <f>IF(A9="","",INDEX('Registro Incidencias'!R$5:R$200,A9))</f>
        <v/>
      </c>
      <c r="K9" s="25" t="str">
        <f>IF(A9="","",INDEX('Registro Incidencias'!AF$5:AF$200,A9))</f>
        <v/>
      </c>
      <c r="L9" s="28" t="str">
        <f>IF(A9="","",INDEX('Registro Incidencias'!AI$5:AI$200,A9))</f>
        <v/>
      </c>
      <c r="M9" s="22" t="str">
        <f>IF(A9="","",INDEX('Registro Incidencias'!AD$5:AD$200,A9))</f>
        <v/>
      </c>
      <c r="N9" s="25" t="str">
        <f>IF(A9="","",INDEX('Registro Incidencias'!AE$5:AE$200,A9))</f>
        <v/>
      </c>
      <c r="O9" s="22" t="str">
        <f>IF(A9="","",INDEX('Registro Incidencias'!AK$5:AK$200,A9))</f>
        <v/>
      </c>
      <c r="P9" s="63" t="str">
        <f>IF(A9="","",INDEX('Registro Incidencias'!AU$5:AU$200,A9))</f>
        <v/>
      </c>
      <c r="Q9" s="32" t="str">
        <f>IF(A9="","",INDEX('Registro Incidencias'!AV$5:AV$200,A9))</f>
        <v/>
      </c>
      <c r="R9" s="32"/>
      <c r="S9" s="32"/>
    </row>
    <row r="10" spans="1:19" ht="15" customHeight="1" x14ac:dyDescent="0.25">
      <c r="A10" s="36" t="str">
        <f>IFERROR(MATCH(1,INDEX(('Registro Incidencias'!AX$5:AX$200="Raúl"&amp;TEXT('📅 Semana'!B$7,"YYYYMMDD"))*('Registro Incidencias'!AY$5:AY$200=6),),0),"")</f>
        <v/>
      </c>
      <c r="B10" s="64" t="str">
        <f>IF(A10="","",INDEX('Registro Incidencias'!U$5:U$200,A10))</f>
        <v/>
      </c>
      <c r="C10" s="33" t="str">
        <f>IF(A10="","",INDEX('Registro Incidencias'!L$5:L$200,A10))</f>
        <v/>
      </c>
      <c r="D10" s="33" t="str">
        <f>IF(A10="","",INDEX('Registro Incidencias'!A$5:A$200,A10))</f>
        <v/>
      </c>
      <c r="E10" s="33" t="str">
        <f>IF(A10="","",INDEX('Registro Incidencias'!D$5:D$200,A10))</f>
        <v/>
      </c>
      <c r="F10" s="36" t="str">
        <f>IF(A10="","",INDEX('Registro Incidencias'!F$5:F$200,A10))</f>
        <v/>
      </c>
      <c r="G10" s="36" t="str">
        <f>IF(A10="","",INDEX('Registro Incidencias'!G$5:G$200,A10))</f>
        <v/>
      </c>
      <c r="H10" s="36" t="str">
        <f>IF(A10="","",INDEX('Registro Incidencias'!H$5:H$200,A10))</f>
        <v/>
      </c>
      <c r="I10" s="36" t="str">
        <f>IF(A10="","",INDEX('Registro Incidencias'!O$5:O$200,A10))</f>
        <v/>
      </c>
      <c r="J10" s="36" t="str">
        <f>IF(A10="","",INDEX('Registro Incidencias'!R$5:R$200,A10))</f>
        <v/>
      </c>
      <c r="K10" s="36" t="str">
        <f>IF(A10="","",INDEX('Registro Incidencias'!AF$5:AF$200,A10))</f>
        <v/>
      </c>
      <c r="L10" s="39" t="str">
        <f>IF(A10="","",INDEX('Registro Incidencias'!AI$5:AI$200,A10))</f>
        <v/>
      </c>
      <c r="M10" s="33" t="str">
        <f>IF(A10="","",INDEX('Registro Incidencias'!AD$5:AD$200,A10))</f>
        <v/>
      </c>
      <c r="N10" s="36" t="str">
        <f>IF(A10="","",INDEX('Registro Incidencias'!AE$5:AE$200,A10))</f>
        <v/>
      </c>
      <c r="O10" s="33" t="str">
        <f>IF(A10="","",INDEX('Registro Incidencias'!AK$5:AK$200,A10))</f>
        <v/>
      </c>
      <c r="P10" s="63" t="str">
        <f>IF(A10="","",INDEX('Registro Incidencias'!AU$5:AU$200,A10))</f>
        <v/>
      </c>
      <c r="Q10" s="32" t="str">
        <f>IF(A10="","",INDEX('Registro Incidencias'!AV$5:AV$200,A10))</f>
        <v/>
      </c>
      <c r="R10" s="32"/>
      <c r="S10" s="32"/>
    </row>
    <row r="11" spans="1:19" ht="21.75" customHeight="1" x14ac:dyDescent="0.25">
      <c r="A11" s="3" t="str">
        <f>COUNTIFS('Registro Incidencias'!S$5:S$200,"Raúl",'Registro Incidencias'!T$5:T$200,'📅 Semana'!B$7)&amp;" averías"</f>
        <v>0 averías</v>
      </c>
      <c r="B11" s="3"/>
      <c r="C11" s="3"/>
      <c r="D11" s="3"/>
      <c r="E11" s="3"/>
      <c r="F11" s="3"/>
      <c r="G11" s="3"/>
      <c r="H11" s="3"/>
      <c r="I11" s="3"/>
      <c r="J11" s="2" t="str">
        <f>"Verificadas: "&amp;COUNTIFS(A5:A10,"&lt;&gt;",P5:P10,"&lt;&gt;")&amp;"/"&amp;COUNTIF(A5:A10,"&lt;&gt;")</f>
        <v>Verificadas: 6/6</v>
      </c>
      <c r="K11" s="2"/>
      <c r="L11" s="2"/>
      <c r="M11" s="2"/>
      <c r="N11" s="2"/>
      <c r="O11" s="2"/>
      <c r="P11" s="2"/>
    </row>
    <row r="13" spans="1:19" ht="30" customHeight="1" x14ac:dyDescent="0.25">
      <c r="A13" s="1" t="str">
        <f>TEXT('📅 Semana'!B$8,"DDDD")&amp;"  —  "&amp;TEXT('📅 Semana'!B$8,"DD/MM/")&amp;"2026"</f>
        <v>martes  —  17/02/2026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0" customHeight="1" x14ac:dyDescent="0.25">
      <c r="A14" s="65" t="s">
        <v>85</v>
      </c>
      <c r="B14" s="65" t="s">
        <v>86</v>
      </c>
      <c r="C14" s="65" t="s">
        <v>18</v>
      </c>
      <c r="D14" s="65" t="s">
        <v>87</v>
      </c>
      <c r="E14" s="65" t="s">
        <v>88</v>
      </c>
      <c r="F14" s="65" t="s">
        <v>89</v>
      </c>
      <c r="G14" s="65" t="s">
        <v>13</v>
      </c>
      <c r="H14" s="65" t="s">
        <v>14</v>
      </c>
      <c r="I14" s="65" t="s">
        <v>90</v>
      </c>
      <c r="J14" s="65" t="s">
        <v>91</v>
      </c>
      <c r="K14" s="65" t="s">
        <v>92</v>
      </c>
      <c r="L14" s="65" t="s">
        <v>93</v>
      </c>
      <c r="M14" s="65" t="s">
        <v>94</v>
      </c>
      <c r="N14" s="65" t="s">
        <v>37</v>
      </c>
      <c r="O14" s="65" t="s">
        <v>43</v>
      </c>
      <c r="P14" s="61" t="s">
        <v>95</v>
      </c>
      <c r="Q14" s="61" t="s">
        <v>96</v>
      </c>
      <c r="R14" s="61" t="s">
        <v>97</v>
      </c>
      <c r="S14" s="61" t="s">
        <v>98</v>
      </c>
    </row>
    <row r="15" spans="1:19" ht="15" customHeight="1" x14ac:dyDescent="0.25">
      <c r="A15" s="25" t="str">
        <f>IFERROR(MATCH(1,INDEX(('Registro Incidencias'!AX$5:AX$200="Raúl"&amp;TEXT('📅 Semana'!B$8,"YYYYMMDD"))*('Registro Incidencias'!AY$5:AY$200=1),),0),"")</f>
        <v/>
      </c>
      <c r="B15" s="62" t="str">
        <f>IF(A15="","",INDEX('Registro Incidencias'!U$5:U$200,A15))</f>
        <v/>
      </c>
      <c r="C15" s="22" t="str">
        <f>IF(A15="","",INDEX('Registro Incidencias'!L$5:L$200,A15))</f>
        <v/>
      </c>
      <c r="D15" s="22" t="str">
        <f>IF(A15="","",INDEX('Registro Incidencias'!A$5:A$200,A15))</f>
        <v/>
      </c>
      <c r="E15" s="22" t="str">
        <f>IF(A15="","",INDEX('Registro Incidencias'!D$5:D$200,A15))</f>
        <v/>
      </c>
      <c r="F15" s="25" t="str">
        <f>IF(A15="","",INDEX('Registro Incidencias'!F$5:F$200,A15))</f>
        <v/>
      </c>
      <c r="G15" s="25" t="str">
        <f>IF(A15="","",INDEX('Registro Incidencias'!G$5:G$200,A15))</f>
        <v/>
      </c>
      <c r="H15" s="25" t="str">
        <f>IF(A15="","",INDEX('Registro Incidencias'!H$5:H$200,A15))</f>
        <v/>
      </c>
      <c r="I15" s="25" t="str">
        <f>IF(A15="","",INDEX('Registro Incidencias'!O$5:O$200,A15))</f>
        <v/>
      </c>
      <c r="J15" s="25" t="str">
        <f>IF(A15="","",INDEX('Registro Incidencias'!R$5:R$200,A15))</f>
        <v/>
      </c>
      <c r="K15" s="25" t="str">
        <f>IF(A15="","",INDEX('Registro Incidencias'!AF$5:AF$200,A15))</f>
        <v/>
      </c>
      <c r="L15" s="28" t="str">
        <f>IF(A15="","",INDEX('Registro Incidencias'!AI$5:AI$200,A15))</f>
        <v/>
      </c>
      <c r="M15" s="27" t="str">
        <f>IF(A15="","",INDEX('Registro Incidencias'!AD$5:AD$200,A15))</f>
        <v/>
      </c>
      <c r="N15" s="25" t="str">
        <f>IF(A15="","",INDEX('Registro Incidencias'!AE$5:AE$200,A15))</f>
        <v/>
      </c>
      <c r="O15" s="22" t="str">
        <f>IF(A15="","",INDEX('Registro Incidencias'!AK$5:AK$200,A15))</f>
        <v/>
      </c>
      <c r="P15" s="63" t="str">
        <f>IF(A15="","",INDEX('Registro Incidencias'!AU$5:AU$200,A15))</f>
        <v/>
      </c>
      <c r="Q15" s="32" t="str">
        <f>IF(A15="","",INDEX('Registro Incidencias'!AV$5:AV$200,A15))</f>
        <v/>
      </c>
      <c r="R15" s="32"/>
      <c r="S15" s="32"/>
    </row>
    <row r="16" spans="1:19" ht="15" customHeight="1" x14ac:dyDescent="0.25">
      <c r="A16" s="36" t="str">
        <f>IFERROR(MATCH(1,INDEX(('Registro Incidencias'!AX$5:AX$200="Raúl"&amp;TEXT('📅 Semana'!B$8,"YYYYMMDD"))*('Registro Incidencias'!AY$5:AY$200=2),),0),"")</f>
        <v/>
      </c>
      <c r="B16" s="64" t="str">
        <f>IF(A16="","",INDEX('Registro Incidencias'!U$5:U$200,A16))</f>
        <v/>
      </c>
      <c r="C16" s="33" t="str">
        <f>IF(A16="","",INDEX('Registro Incidencias'!L$5:L$200,A16))</f>
        <v/>
      </c>
      <c r="D16" s="33" t="str">
        <f>IF(A16="","",INDEX('Registro Incidencias'!A$5:A$200,A16))</f>
        <v/>
      </c>
      <c r="E16" s="33" t="str">
        <f>IF(A16="","",INDEX('Registro Incidencias'!D$5:D$200,A16))</f>
        <v/>
      </c>
      <c r="F16" s="36" t="str">
        <f>IF(A16="","",INDEX('Registro Incidencias'!F$5:F$200,A16))</f>
        <v/>
      </c>
      <c r="G16" s="36" t="str">
        <f>IF(A16="","",INDEX('Registro Incidencias'!G$5:G$200,A16))</f>
        <v/>
      </c>
      <c r="H16" s="36" t="str">
        <f>IF(A16="","",INDEX('Registro Incidencias'!H$5:H$200,A16))</f>
        <v/>
      </c>
      <c r="I16" s="36" t="str">
        <f>IF(A16="","",INDEX('Registro Incidencias'!O$5:O$200,A16))</f>
        <v/>
      </c>
      <c r="J16" s="36" t="str">
        <f>IF(A16="","",INDEX('Registro Incidencias'!R$5:R$200,A16))</f>
        <v/>
      </c>
      <c r="K16" s="36" t="str">
        <f>IF(A16="","",INDEX('Registro Incidencias'!AF$5:AF$200,A16))</f>
        <v/>
      </c>
      <c r="L16" s="39" t="str">
        <f>IF(A16="","",INDEX('Registro Incidencias'!AI$5:AI$200,A16))</f>
        <v/>
      </c>
      <c r="M16" s="38" t="str">
        <f>IF(A16="","",INDEX('Registro Incidencias'!AD$5:AD$200,A16))</f>
        <v/>
      </c>
      <c r="N16" s="36" t="str">
        <f>IF(A16="","",INDEX('Registro Incidencias'!AE$5:AE$200,A16))</f>
        <v/>
      </c>
      <c r="O16" s="33" t="str">
        <f>IF(A16="","",INDEX('Registro Incidencias'!AK$5:AK$200,A16))</f>
        <v/>
      </c>
      <c r="P16" s="63" t="str">
        <f>IF(A16="","",INDEX('Registro Incidencias'!AU$5:AU$200,A16))</f>
        <v/>
      </c>
      <c r="Q16" s="32" t="str">
        <f>IF(A16="","",INDEX('Registro Incidencias'!AV$5:AV$200,A16))</f>
        <v/>
      </c>
      <c r="R16" s="32"/>
      <c r="S16" s="32"/>
    </row>
    <row r="17" spans="1:19" ht="15" customHeight="1" x14ac:dyDescent="0.25">
      <c r="A17" s="25" t="str">
        <f>IFERROR(MATCH(1,INDEX(('Registro Incidencias'!AX$5:AX$200="Raúl"&amp;TEXT('📅 Semana'!B$8,"YYYYMMDD"))*('Registro Incidencias'!AY$5:AY$200=3),),0),"")</f>
        <v/>
      </c>
      <c r="B17" s="62" t="str">
        <f>IF(A17="","",INDEX('Registro Incidencias'!U$5:U$200,A17))</f>
        <v/>
      </c>
      <c r="C17" s="22" t="str">
        <f>IF(A17="","",INDEX('Registro Incidencias'!L$5:L$200,A17))</f>
        <v/>
      </c>
      <c r="D17" s="22" t="str">
        <f>IF(A17="","",INDEX('Registro Incidencias'!A$5:A$200,A17))</f>
        <v/>
      </c>
      <c r="E17" s="22" t="str">
        <f>IF(A17="","",INDEX('Registro Incidencias'!D$5:D$200,A17))</f>
        <v/>
      </c>
      <c r="F17" s="25" t="str">
        <f>IF(A17="","",INDEX('Registro Incidencias'!F$5:F$200,A17))</f>
        <v/>
      </c>
      <c r="G17" s="25" t="str">
        <f>IF(A17="","",INDEX('Registro Incidencias'!G$5:G$200,A17))</f>
        <v/>
      </c>
      <c r="H17" s="25" t="str">
        <f>IF(A17="","",INDEX('Registro Incidencias'!H$5:H$200,A17))</f>
        <v/>
      </c>
      <c r="I17" s="25" t="str">
        <f>IF(A17="","",INDEX('Registro Incidencias'!O$5:O$200,A17))</f>
        <v/>
      </c>
      <c r="J17" s="25" t="str">
        <f>IF(A17="","",INDEX('Registro Incidencias'!R$5:R$200,A17))</f>
        <v/>
      </c>
      <c r="K17" s="25" t="str">
        <f>IF(A17="","",INDEX('Registro Incidencias'!AF$5:AF$200,A17))</f>
        <v/>
      </c>
      <c r="L17" s="28" t="str">
        <f>IF(A17="","",INDEX('Registro Incidencias'!AI$5:AI$200,A17))</f>
        <v/>
      </c>
      <c r="M17" s="22" t="str">
        <f>IF(A17="","",INDEX('Registro Incidencias'!AD$5:AD$200,A17))</f>
        <v/>
      </c>
      <c r="N17" s="25" t="str">
        <f>IF(A17="","",INDEX('Registro Incidencias'!AE$5:AE$200,A17))</f>
        <v/>
      </c>
      <c r="O17" s="22" t="str">
        <f>IF(A17="","",INDEX('Registro Incidencias'!AK$5:AK$200,A17))</f>
        <v/>
      </c>
      <c r="P17" s="63" t="str">
        <f>IF(A17="","",INDEX('Registro Incidencias'!AU$5:AU$200,A17))</f>
        <v/>
      </c>
      <c r="Q17" s="32" t="str">
        <f>IF(A17="","",INDEX('Registro Incidencias'!AV$5:AV$200,A17))</f>
        <v/>
      </c>
      <c r="R17" s="32"/>
      <c r="S17" s="32"/>
    </row>
    <row r="18" spans="1:19" ht="15" customHeight="1" x14ac:dyDescent="0.25">
      <c r="A18" s="36" t="str">
        <f>IFERROR(MATCH(1,INDEX(('Registro Incidencias'!AX$5:AX$200="Raúl"&amp;TEXT('📅 Semana'!B$8,"YYYYMMDD"))*('Registro Incidencias'!AY$5:AY$200=4),),0),"")</f>
        <v/>
      </c>
      <c r="B18" s="64" t="str">
        <f>IF(A18="","",INDEX('Registro Incidencias'!U$5:U$200,A18))</f>
        <v/>
      </c>
      <c r="C18" s="33" t="str">
        <f>IF(A18="","",INDEX('Registro Incidencias'!L$5:L$200,A18))</f>
        <v/>
      </c>
      <c r="D18" s="33" t="str">
        <f>IF(A18="","",INDEX('Registro Incidencias'!A$5:A$200,A18))</f>
        <v/>
      </c>
      <c r="E18" s="33" t="str">
        <f>IF(A18="","",INDEX('Registro Incidencias'!D$5:D$200,A18))</f>
        <v/>
      </c>
      <c r="F18" s="36" t="str">
        <f>IF(A18="","",INDEX('Registro Incidencias'!F$5:F$200,A18))</f>
        <v/>
      </c>
      <c r="G18" s="36" t="str">
        <f>IF(A18="","",INDEX('Registro Incidencias'!G$5:G$200,A18))</f>
        <v/>
      </c>
      <c r="H18" s="36" t="str">
        <f>IF(A18="","",INDEX('Registro Incidencias'!H$5:H$200,A18))</f>
        <v/>
      </c>
      <c r="I18" s="36" t="str">
        <f>IF(A18="","",INDEX('Registro Incidencias'!O$5:O$200,A18))</f>
        <v/>
      </c>
      <c r="J18" s="36" t="str">
        <f>IF(A18="","",INDEX('Registro Incidencias'!R$5:R$200,A18))</f>
        <v/>
      </c>
      <c r="K18" s="36" t="str">
        <f>IF(A18="","",INDEX('Registro Incidencias'!AF$5:AF$200,A18))</f>
        <v/>
      </c>
      <c r="L18" s="39" t="str">
        <f>IF(A18="","",INDEX('Registro Incidencias'!AI$5:AI$200,A18))</f>
        <v/>
      </c>
      <c r="M18" s="33" t="str">
        <f>IF(A18="","",INDEX('Registro Incidencias'!AD$5:AD$200,A18))</f>
        <v/>
      </c>
      <c r="N18" s="36" t="str">
        <f>IF(A18="","",INDEX('Registro Incidencias'!AE$5:AE$200,A18))</f>
        <v/>
      </c>
      <c r="O18" s="33" t="str">
        <f>IF(A18="","",INDEX('Registro Incidencias'!AK$5:AK$200,A18))</f>
        <v/>
      </c>
      <c r="P18" s="63" t="str">
        <f>IF(A18="","",INDEX('Registro Incidencias'!AU$5:AU$200,A18))</f>
        <v/>
      </c>
      <c r="Q18" s="32" t="str">
        <f>IF(A18="","",INDEX('Registro Incidencias'!AV$5:AV$200,A18))</f>
        <v/>
      </c>
      <c r="R18" s="32"/>
      <c r="S18" s="32"/>
    </row>
    <row r="19" spans="1:19" ht="15" customHeight="1" x14ac:dyDescent="0.25">
      <c r="A19" s="25" t="str">
        <f>IFERROR(MATCH(1,INDEX(('Registro Incidencias'!AX$5:AX$200="Raúl"&amp;TEXT('📅 Semana'!B$8,"YYYYMMDD"))*('Registro Incidencias'!AY$5:AY$200=5),),0),"")</f>
        <v/>
      </c>
      <c r="B19" s="62" t="str">
        <f>IF(A19="","",INDEX('Registro Incidencias'!U$5:U$200,A19))</f>
        <v/>
      </c>
      <c r="C19" s="22" t="str">
        <f>IF(A19="","",INDEX('Registro Incidencias'!L$5:L$200,A19))</f>
        <v/>
      </c>
      <c r="D19" s="22" t="str">
        <f>IF(A19="","",INDEX('Registro Incidencias'!A$5:A$200,A19))</f>
        <v/>
      </c>
      <c r="E19" s="22" t="str">
        <f>IF(A19="","",INDEX('Registro Incidencias'!D$5:D$200,A19))</f>
        <v/>
      </c>
      <c r="F19" s="25" t="str">
        <f>IF(A19="","",INDEX('Registro Incidencias'!F$5:F$200,A19))</f>
        <v/>
      </c>
      <c r="G19" s="25" t="str">
        <f>IF(A19="","",INDEX('Registro Incidencias'!G$5:G$200,A19))</f>
        <v/>
      </c>
      <c r="H19" s="25" t="str">
        <f>IF(A19="","",INDEX('Registro Incidencias'!H$5:H$200,A19))</f>
        <v/>
      </c>
      <c r="I19" s="25" t="str">
        <f>IF(A19="","",INDEX('Registro Incidencias'!O$5:O$200,A19))</f>
        <v/>
      </c>
      <c r="J19" s="25" t="str">
        <f>IF(A19="","",INDEX('Registro Incidencias'!R$5:R$200,A19))</f>
        <v/>
      </c>
      <c r="K19" s="25" t="str">
        <f>IF(A19="","",INDEX('Registro Incidencias'!AF$5:AF$200,A19))</f>
        <v/>
      </c>
      <c r="L19" s="28" t="str">
        <f>IF(A19="","",INDEX('Registro Incidencias'!AI$5:AI$200,A19))</f>
        <v/>
      </c>
      <c r="M19" s="22" t="str">
        <f>IF(A19="","",INDEX('Registro Incidencias'!AD$5:AD$200,A19))</f>
        <v/>
      </c>
      <c r="N19" s="25" t="str">
        <f>IF(A19="","",INDEX('Registro Incidencias'!AE$5:AE$200,A19))</f>
        <v/>
      </c>
      <c r="O19" s="22" t="str">
        <f>IF(A19="","",INDEX('Registro Incidencias'!AK$5:AK$200,A19))</f>
        <v/>
      </c>
      <c r="P19" s="63" t="str">
        <f>IF(A19="","",INDEX('Registro Incidencias'!AU$5:AU$200,A19))</f>
        <v/>
      </c>
      <c r="Q19" s="32" t="str">
        <f>IF(A19="","",INDEX('Registro Incidencias'!AV$5:AV$200,A19))</f>
        <v/>
      </c>
      <c r="R19" s="32"/>
      <c r="S19" s="32"/>
    </row>
    <row r="20" spans="1:19" ht="15" customHeight="1" x14ac:dyDescent="0.25">
      <c r="A20" s="36" t="str">
        <f>IFERROR(MATCH(1,INDEX(('Registro Incidencias'!AX$5:AX$200="Raúl"&amp;TEXT('📅 Semana'!B$8,"YYYYMMDD"))*('Registro Incidencias'!AY$5:AY$200=6),),0),"")</f>
        <v/>
      </c>
      <c r="B20" s="64" t="str">
        <f>IF(A20="","",INDEX('Registro Incidencias'!U$5:U$200,A20))</f>
        <v/>
      </c>
      <c r="C20" s="33" t="str">
        <f>IF(A20="","",INDEX('Registro Incidencias'!L$5:L$200,A20))</f>
        <v/>
      </c>
      <c r="D20" s="33" t="str">
        <f>IF(A20="","",INDEX('Registro Incidencias'!A$5:A$200,A20))</f>
        <v/>
      </c>
      <c r="E20" s="33" t="str">
        <f>IF(A20="","",INDEX('Registro Incidencias'!D$5:D$200,A20))</f>
        <v/>
      </c>
      <c r="F20" s="36" t="str">
        <f>IF(A20="","",INDEX('Registro Incidencias'!F$5:F$200,A20))</f>
        <v/>
      </c>
      <c r="G20" s="36" t="str">
        <f>IF(A20="","",INDEX('Registro Incidencias'!G$5:G$200,A20))</f>
        <v/>
      </c>
      <c r="H20" s="36" t="str">
        <f>IF(A20="","",INDEX('Registro Incidencias'!H$5:H$200,A20))</f>
        <v/>
      </c>
      <c r="I20" s="36" t="str">
        <f>IF(A20="","",INDEX('Registro Incidencias'!O$5:O$200,A20))</f>
        <v/>
      </c>
      <c r="J20" s="36" t="str">
        <f>IF(A20="","",INDEX('Registro Incidencias'!R$5:R$200,A20))</f>
        <v/>
      </c>
      <c r="K20" s="36" t="str">
        <f>IF(A20="","",INDEX('Registro Incidencias'!AF$5:AF$200,A20))</f>
        <v/>
      </c>
      <c r="L20" s="39" t="str">
        <f>IF(A20="","",INDEX('Registro Incidencias'!AI$5:AI$200,A20))</f>
        <v/>
      </c>
      <c r="M20" s="33" t="str">
        <f>IF(A20="","",INDEX('Registro Incidencias'!AD$5:AD$200,A20))</f>
        <v/>
      </c>
      <c r="N20" s="36" t="str">
        <f>IF(A20="","",INDEX('Registro Incidencias'!AE$5:AE$200,A20))</f>
        <v/>
      </c>
      <c r="O20" s="33" t="str">
        <f>IF(A20="","",INDEX('Registro Incidencias'!AK$5:AK$200,A20))</f>
        <v/>
      </c>
      <c r="P20" s="63" t="str">
        <f>IF(A20="","",INDEX('Registro Incidencias'!AU$5:AU$200,A20))</f>
        <v/>
      </c>
      <c r="Q20" s="32" t="str">
        <f>IF(A20="","",INDEX('Registro Incidencias'!AV$5:AV$200,A20))</f>
        <v/>
      </c>
      <c r="R20" s="32"/>
      <c r="S20" s="32"/>
    </row>
    <row r="21" spans="1:19" ht="21.75" customHeight="1" x14ac:dyDescent="0.25">
      <c r="A21" s="123" t="str">
        <f>COUNTIFS('Registro Incidencias'!S$5:S$200,"Raúl",'Registro Incidencias'!T$5:T$200,'📅 Semana'!B$8)&amp;" averías"</f>
        <v>0 averías</v>
      </c>
      <c r="B21" s="123"/>
      <c r="C21" s="123"/>
      <c r="D21" s="123"/>
      <c r="E21" s="123"/>
      <c r="F21" s="123"/>
      <c r="G21" s="123"/>
      <c r="H21" s="123"/>
      <c r="I21" s="123"/>
      <c r="J21" s="2" t="str">
        <f>"Verificadas: "&amp;COUNTIFS(A15:A20,"&lt;&gt;",P15:P20,"&lt;&gt;")&amp;"/"&amp;COUNTIF(A15:A20,"&lt;&gt;")</f>
        <v>Verificadas: 6/6</v>
      </c>
      <c r="K21" s="2"/>
      <c r="L21" s="2"/>
      <c r="M21" s="2"/>
      <c r="N21" s="2"/>
      <c r="O21" s="2"/>
      <c r="P21" s="2"/>
    </row>
    <row r="23" spans="1:19" ht="30" customHeight="1" x14ac:dyDescent="0.25">
      <c r="A23" s="124" t="str">
        <f>TEXT('📅 Semana'!B$9,"DDDD")&amp;"  —  "&amp;TEXT('📅 Semana'!B$9,"DD/MM/")&amp;"2026"</f>
        <v>miércoles  —  18/02/2026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</row>
    <row r="24" spans="1:19" ht="30" customHeight="1" x14ac:dyDescent="0.25">
      <c r="A24" s="66" t="s">
        <v>85</v>
      </c>
      <c r="B24" s="66" t="s">
        <v>86</v>
      </c>
      <c r="C24" s="66" t="s">
        <v>18</v>
      </c>
      <c r="D24" s="66" t="s">
        <v>87</v>
      </c>
      <c r="E24" s="66" t="s">
        <v>88</v>
      </c>
      <c r="F24" s="66" t="s">
        <v>89</v>
      </c>
      <c r="G24" s="66" t="s">
        <v>13</v>
      </c>
      <c r="H24" s="66" t="s">
        <v>14</v>
      </c>
      <c r="I24" s="66" t="s">
        <v>90</v>
      </c>
      <c r="J24" s="66" t="s">
        <v>91</v>
      </c>
      <c r="K24" s="66" t="s">
        <v>92</v>
      </c>
      <c r="L24" s="66" t="s">
        <v>93</v>
      </c>
      <c r="M24" s="66" t="s">
        <v>94</v>
      </c>
      <c r="N24" s="66" t="s">
        <v>37</v>
      </c>
      <c r="O24" s="66" t="s">
        <v>43</v>
      </c>
      <c r="P24" s="61" t="s">
        <v>95</v>
      </c>
      <c r="Q24" s="61" t="s">
        <v>96</v>
      </c>
      <c r="R24" s="61" t="s">
        <v>97</v>
      </c>
      <c r="S24" s="61" t="s">
        <v>98</v>
      </c>
    </row>
    <row r="25" spans="1:19" ht="15" customHeight="1" x14ac:dyDescent="0.25">
      <c r="A25" s="25" t="str">
        <f>IFERROR(MATCH(1,INDEX(('Registro Incidencias'!AX$5:AX$200="Raúl"&amp;TEXT('📅 Semana'!B$9,"YYYYMMDD"))*('Registro Incidencias'!AY$5:AY$200=1),),0),"")</f>
        <v/>
      </c>
      <c r="B25" s="62" t="str">
        <f>IF(A25="","",INDEX('Registro Incidencias'!U$5:U$200,A25))</f>
        <v/>
      </c>
      <c r="C25" s="22" t="str">
        <f>IF(A25="","",INDEX('Registro Incidencias'!L$5:L$200,A25))</f>
        <v/>
      </c>
      <c r="D25" s="22" t="str">
        <f>IF(A25="","",INDEX('Registro Incidencias'!A$5:A$200,A25))</f>
        <v/>
      </c>
      <c r="E25" s="22" t="str">
        <f>IF(A25="","",INDEX('Registro Incidencias'!D$5:D$200,A25))</f>
        <v/>
      </c>
      <c r="F25" s="25" t="str">
        <f>IF(A25="","",INDEX('Registro Incidencias'!F$5:F$200,A25))</f>
        <v/>
      </c>
      <c r="G25" s="25" t="str">
        <f>IF(A25="","",INDEX('Registro Incidencias'!G$5:G$200,A25))</f>
        <v/>
      </c>
      <c r="H25" s="25" t="str">
        <f>IF(A25="","",INDEX('Registro Incidencias'!H$5:H$200,A25))</f>
        <v/>
      </c>
      <c r="I25" s="25" t="str">
        <f>IF(A25="","",INDEX('Registro Incidencias'!O$5:O$200,A25))</f>
        <v/>
      </c>
      <c r="J25" s="25" t="str">
        <f>IF(A25="","",INDEX('Registro Incidencias'!R$5:R$200,A25))</f>
        <v/>
      </c>
      <c r="K25" s="25" t="str">
        <f>IF(A25="","",INDEX('Registro Incidencias'!AF$5:AF$200,A25))</f>
        <v/>
      </c>
      <c r="L25" s="28" t="str">
        <f>IF(A25="","",INDEX('Registro Incidencias'!AI$5:AI$200,A25))</f>
        <v/>
      </c>
      <c r="M25" s="22" t="str">
        <f>IF(A25="","",INDEX('Registro Incidencias'!AD$5:AD$200,A25))</f>
        <v/>
      </c>
      <c r="N25" s="25" t="str">
        <f>IF(A25="","",INDEX('Registro Incidencias'!AE$5:AE$200,A25))</f>
        <v/>
      </c>
      <c r="O25" s="22" t="str">
        <f>IF(A25="","",INDEX('Registro Incidencias'!AK$5:AK$200,A25))</f>
        <v/>
      </c>
      <c r="P25" s="63" t="str">
        <f>IF(A25="","",INDEX('Registro Incidencias'!AU$5:AU$200,A25))</f>
        <v/>
      </c>
      <c r="Q25" s="32" t="str">
        <f>IF(A25="","",INDEX('Registro Incidencias'!AV$5:AV$200,A25))</f>
        <v/>
      </c>
      <c r="R25" s="32"/>
      <c r="S25" s="32"/>
    </row>
    <row r="26" spans="1:19" ht="15" customHeight="1" x14ac:dyDescent="0.25">
      <c r="A26" s="36" t="str">
        <f>IFERROR(MATCH(1,INDEX(('Registro Incidencias'!AX$5:AX$200="Raúl"&amp;TEXT('📅 Semana'!B$9,"YYYYMMDD"))*('Registro Incidencias'!AY$5:AY$200=2),),0),"")</f>
        <v/>
      </c>
      <c r="B26" s="64" t="str">
        <f>IF(A26="","",INDEX('Registro Incidencias'!U$5:U$200,A26))</f>
        <v/>
      </c>
      <c r="C26" s="33" t="str">
        <f>IF(A26="","",INDEX('Registro Incidencias'!L$5:L$200,A26))</f>
        <v/>
      </c>
      <c r="D26" s="33" t="str">
        <f>IF(A26="","",INDEX('Registro Incidencias'!A$5:A$200,A26))</f>
        <v/>
      </c>
      <c r="E26" s="33" t="str">
        <f>IF(A26="","",INDEX('Registro Incidencias'!D$5:D$200,A26))</f>
        <v/>
      </c>
      <c r="F26" s="36" t="str">
        <f>IF(A26="","",INDEX('Registro Incidencias'!F$5:F$200,A26))</f>
        <v/>
      </c>
      <c r="G26" s="36" t="str">
        <f>IF(A26="","",INDEX('Registro Incidencias'!G$5:G$200,A26))</f>
        <v/>
      </c>
      <c r="H26" s="36" t="str">
        <f>IF(A26="","",INDEX('Registro Incidencias'!H$5:H$200,A26))</f>
        <v/>
      </c>
      <c r="I26" s="36" t="str">
        <f>IF(A26="","",INDEX('Registro Incidencias'!O$5:O$200,A26))</f>
        <v/>
      </c>
      <c r="J26" s="36" t="str">
        <f>IF(A26="","",INDEX('Registro Incidencias'!R$5:R$200,A26))</f>
        <v/>
      </c>
      <c r="K26" s="36" t="str">
        <f>IF(A26="","",INDEX('Registro Incidencias'!AF$5:AF$200,A26))</f>
        <v/>
      </c>
      <c r="L26" s="39" t="str">
        <f>IF(A26="","",INDEX('Registro Incidencias'!AI$5:AI$200,A26))</f>
        <v/>
      </c>
      <c r="M26" s="33" t="str">
        <f>IF(A26="","",INDEX('Registro Incidencias'!AD$5:AD$200,A26))</f>
        <v/>
      </c>
      <c r="N26" s="36" t="str">
        <f>IF(A26="","",INDEX('Registro Incidencias'!AE$5:AE$200,A26))</f>
        <v/>
      </c>
      <c r="O26" s="33" t="str">
        <f>IF(A26="","",INDEX('Registro Incidencias'!AK$5:AK$200,A26))</f>
        <v/>
      </c>
      <c r="P26" s="63" t="str">
        <f>IF(A26="","",INDEX('Registro Incidencias'!AU$5:AU$200,A26))</f>
        <v/>
      </c>
      <c r="Q26" s="32" t="str">
        <f>IF(A26="","",INDEX('Registro Incidencias'!AV$5:AV$200,A26))</f>
        <v/>
      </c>
      <c r="R26" s="32"/>
      <c r="S26" s="32"/>
    </row>
    <row r="27" spans="1:19" ht="15" customHeight="1" x14ac:dyDescent="0.25">
      <c r="A27" s="25" t="str">
        <f>IFERROR(MATCH(1,INDEX(('Registro Incidencias'!AX$5:AX$200="Raúl"&amp;TEXT('📅 Semana'!B$9,"YYYYMMDD"))*('Registro Incidencias'!AY$5:AY$200=3),),0),"")</f>
        <v/>
      </c>
      <c r="B27" s="62" t="str">
        <f>IF(A27="","",INDEX('Registro Incidencias'!U$5:U$200,A27))</f>
        <v/>
      </c>
      <c r="C27" s="22" t="str">
        <f>IF(A27="","",INDEX('Registro Incidencias'!L$5:L$200,A27))</f>
        <v/>
      </c>
      <c r="D27" s="22" t="str">
        <f>IF(A27="","",INDEX('Registro Incidencias'!A$5:A$200,A27))</f>
        <v/>
      </c>
      <c r="E27" s="22" t="str">
        <f>IF(A27="","",INDEX('Registro Incidencias'!D$5:D$200,A27))</f>
        <v/>
      </c>
      <c r="F27" s="25" t="str">
        <f>IF(A27="","",INDEX('Registro Incidencias'!F$5:F$200,A27))</f>
        <v/>
      </c>
      <c r="G27" s="25" t="str">
        <f>IF(A27="","",INDEX('Registro Incidencias'!G$5:G$200,A27))</f>
        <v/>
      </c>
      <c r="H27" s="25" t="str">
        <f>IF(A27="","",INDEX('Registro Incidencias'!H$5:H$200,A27))</f>
        <v/>
      </c>
      <c r="I27" s="25" t="str">
        <f>IF(A27="","",INDEX('Registro Incidencias'!O$5:O$200,A27))</f>
        <v/>
      </c>
      <c r="J27" s="25" t="str">
        <f>IF(A27="","",INDEX('Registro Incidencias'!R$5:R$200,A27))</f>
        <v/>
      </c>
      <c r="K27" s="25" t="str">
        <f>IF(A27="","",INDEX('Registro Incidencias'!AF$5:AF$200,A27))</f>
        <v/>
      </c>
      <c r="L27" s="28" t="str">
        <f>IF(A27="","",INDEX('Registro Incidencias'!AI$5:AI$200,A27))</f>
        <v/>
      </c>
      <c r="M27" s="22" t="str">
        <f>IF(A27="","",INDEX('Registro Incidencias'!AD$5:AD$200,A27))</f>
        <v/>
      </c>
      <c r="N27" s="25" t="str">
        <f>IF(A27="","",INDEX('Registro Incidencias'!AE$5:AE$200,A27))</f>
        <v/>
      </c>
      <c r="O27" s="22" t="str">
        <f>IF(A27="","",INDEX('Registro Incidencias'!AK$5:AK$200,A27))</f>
        <v/>
      </c>
      <c r="P27" s="63" t="str">
        <f>IF(A27="","",INDEX('Registro Incidencias'!AU$5:AU$200,A27))</f>
        <v/>
      </c>
      <c r="Q27" s="32" t="str">
        <f>IF(A27="","",INDEX('Registro Incidencias'!AV$5:AV$200,A27))</f>
        <v/>
      </c>
      <c r="R27" s="32"/>
      <c r="S27" s="32"/>
    </row>
    <row r="28" spans="1:19" ht="15" customHeight="1" x14ac:dyDescent="0.25">
      <c r="A28" s="36" t="str">
        <f>IFERROR(MATCH(1,INDEX(('Registro Incidencias'!AX$5:AX$200="Raúl"&amp;TEXT('📅 Semana'!B$9,"YYYYMMDD"))*('Registro Incidencias'!AY$5:AY$200=4),),0),"")</f>
        <v/>
      </c>
      <c r="B28" s="64" t="str">
        <f>IF(A28="","",INDEX('Registro Incidencias'!U$5:U$200,A28))</f>
        <v/>
      </c>
      <c r="C28" s="33" t="str">
        <f>IF(A28="","",INDEX('Registro Incidencias'!L$5:L$200,A28))</f>
        <v/>
      </c>
      <c r="D28" s="33" t="str">
        <f>IF(A28="","",INDEX('Registro Incidencias'!A$5:A$200,A28))</f>
        <v/>
      </c>
      <c r="E28" s="33" t="str">
        <f>IF(A28="","",INDEX('Registro Incidencias'!D$5:D$200,A28))</f>
        <v/>
      </c>
      <c r="F28" s="36" t="str">
        <f>IF(A28="","",INDEX('Registro Incidencias'!F$5:F$200,A28))</f>
        <v/>
      </c>
      <c r="G28" s="36" t="str">
        <f>IF(A28="","",INDEX('Registro Incidencias'!G$5:G$200,A28))</f>
        <v/>
      </c>
      <c r="H28" s="36" t="str">
        <f>IF(A28="","",INDEX('Registro Incidencias'!H$5:H$200,A28))</f>
        <v/>
      </c>
      <c r="I28" s="36" t="str">
        <f>IF(A28="","",INDEX('Registro Incidencias'!O$5:O$200,A28))</f>
        <v/>
      </c>
      <c r="J28" s="36" t="str">
        <f>IF(A28="","",INDEX('Registro Incidencias'!R$5:R$200,A28))</f>
        <v/>
      </c>
      <c r="K28" s="36" t="str">
        <f>IF(A28="","",INDEX('Registro Incidencias'!AF$5:AF$200,A28))</f>
        <v/>
      </c>
      <c r="L28" s="39" t="str">
        <f>IF(A28="","",INDEX('Registro Incidencias'!AI$5:AI$200,A28))</f>
        <v/>
      </c>
      <c r="M28" s="33" t="str">
        <f>IF(A28="","",INDEX('Registro Incidencias'!AD$5:AD$200,A28))</f>
        <v/>
      </c>
      <c r="N28" s="36" t="str">
        <f>IF(A28="","",INDEX('Registro Incidencias'!AE$5:AE$200,A28))</f>
        <v/>
      </c>
      <c r="O28" s="33" t="str">
        <f>IF(A28="","",INDEX('Registro Incidencias'!AK$5:AK$200,A28))</f>
        <v/>
      </c>
      <c r="P28" s="63" t="str">
        <f>IF(A28="","",INDEX('Registro Incidencias'!AU$5:AU$200,A28))</f>
        <v/>
      </c>
      <c r="Q28" s="32" t="str">
        <f>IF(A28="","",INDEX('Registro Incidencias'!AV$5:AV$200,A28))</f>
        <v/>
      </c>
      <c r="R28" s="32"/>
      <c r="S28" s="32"/>
    </row>
    <row r="29" spans="1:19" ht="15" customHeight="1" x14ac:dyDescent="0.25">
      <c r="A29" s="25" t="str">
        <f>IFERROR(MATCH(1,INDEX(('Registro Incidencias'!AX$5:AX$200="Raúl"&amp;TEXT('📅 Semana'!B$9,"YYYYMMDD"))*('Registro Incidencias'!AY$5:AY$200=5),),0),"")</f>
        <v/>
      </c>
      <c r="B29" s="62" t="str">
        <f>IF(A29="","",INDEX('Registro Incidencias'!U$5:U$200,A29))</f>
        <v/>
      </c>
      <c r="C29" s="22" t="str">
        <f>IF(A29="","",INDEX('Registro Incidencias'!L$5:L$200,A29))</f>
        <v/>
      </c>
      <c r="D29" s="22" t="str">
        <f>IF(A29="","",INDEX('Registro Incidencias'!A$5:A$200,A29))</f>
        <v/>
      </c>
      <c r="E29" s="22" t="str">
        <f>IF(A29="","",INDEX('Registro Incidencias'!D$5:D$200,A29))</f>
        <v/>
      </c>
      <c r="F29" s="25" t="str">
        <f>IF(A29="","",INDEX('Registro Incidencias'!F$5:F$200,A29))</f>
        <v/>
      </c>
      <c r="G29" s="25" t="str">
        <f>IF(A29="","",INDEX('Registro Incidencias'!G$5:G$200,A29))</f>
        <v/>
      </c>
      <c r="H29" s="25" t="str">
        <f>IF(A29="","",INDEX('Registro Incidencias'!H$5:H$200,A29))</f>
        <v/>
      </c>
      <c r="I29" s="25" t="str">
        <f>IF(A29="","",INDEX('Registro Incidencias'!O$5:O$200,A29))</f>
        <v/>
      </c>
      <c r="J29" s="25" t="str">
        <f>IF(A29="","",INDEX('Registro Incidencias'!R$5:R$200,A29))</f>
        <v/>
      </c>
      <c r="K29" s="25" t="str">
        <f>IF(A29="","",INDEX('Registro Incidencias'!AF$5:AF$200,A29))</f>
        <v/>
      </c>
      <c r="L29" s="28" t="str">
        <f>IF(A29="","",INDEX('Registro Incidencias'!AI$5:AI$200,A29))</f>
        <v/>
      </c>
      <c r="M29" s="22" t="str">
        <f>IF(A29="","",INDEX('Registro Incidencias'!AD$5:AD$200,A29))</f>
        <v/>
      </c>
      <c r="N29" s="25" t="str">
        <f>IF(A29="","",INDEX('Registro Incidencias'!AE$5:AE$200,A29))</f>
        <v/>
      </c>
      <c r="O29" s="22" t="str">
        <f>IF(A29="","",INDEX('Registro Incidencias'!AK$5:AK$200,A29))</f>
        <v/>
      </c>
      <c r="P29" s="63" t="str">
        <f>IF(A29="","",INDEX('Registro Incidencias'!AU$5:AU$200,A29))</f>
        <v/>
      </c>
      <c r="Q29" s="32" t="str">
        <f>IF(A29="","",INDEX('Registro Incidencias'!AV$5:AV$200,A29))</f>
        <v/>
      </c>
      <c r="R29" s="32"/>
      <c r="S29" s="32"/>
    </row>
    <row r="30" spans="1:19" ht="15" customHeight="1" x14ac:dyDescent="0.25">
      <c r="A30" s="36" t="str">
        <f>IFERROR(MATCH(1,INDEX(('Registro Incidencias'!AX$5:AX$200="Raúl"&amp;TEXT('📅 Semana'!B$9,"YYYYMMDD"))*('Registro Incidencias'!AY$5:AY$200=6),),0),"")</f>
        <v/>
      </c>
      <c r="B30" s="64" t="str">
        <f>IF(A30="","",INDEX('Registro Incidencias'!U$5:U$200,A30))</f>
        <v/>
      </c>
      <c r="C30" s="33" t="str">
        <f>IF(A30="","",INDEX('Registro Incidencias'!L$5:L$200,A30))</f>
        <v/>
      </c>
      <c r="D30" s="33" t="str">
        <f>IF(A30="","",INDEX('Registro Incidencias'!A$5:A$200,A30))</f>
        <v/>
      </c>
      <c r="E30" s="33" t="str">
        <f>IF(A30="","",INDEX('Registro Incidencias'!D$5:D$200,A30))</f>
        <v/>
      </c>
      <c r="F30" s="36" t="str">
        <f>IF(A30="","",INDEX('Registro Incidencias'!F$5:F$200,A30))</f>
        <v/>
      </c>
      <c r="G30" s="36" t="str">
        <f>IF(A30="","",INDEX('Registro Incidencias'!G$5:G$200,A30))</f>
        <v/>
      </c>
      <c r="H30" s="36" t="str">
        <f>IF(A30="","",INDEX('Registro Incidencias'!H$5:H$200,A30))</f>
        <v/>
      </c>
      <c r="I30" s="36" t="str">
        <f>IF(A30="","",INDEX('Registro Incidencias'!O$5:O$200,A30))</f>
        <v/>
      </c>
      <c r="J30" s="36" t="str">
        <f>IF(A30="","",INDEX('Registro Incidencias'!R$5:R$200,A30))</f>
        <v/>
      </c>
      <c r="K30" s="36" t="str">
        <f>IF(A30="","",INDEX('Registro Incidencias'!AF$5:AF$200,A30))</f>
        <v/>
      </c>
      <c r="L30" s="39" t="str">
        <f>IF(A30="","",INDEX('Registro Incidencias'!AI$5:AI$200,A30))</f>
        <v/>
      </c>
      <c r="M30" s="33" t="str">
        <f>IF(A30="","",INDEX('Registro Incidencias'!AD$5:AD$200,A30))</f>
        <v/>
      </c>
      <c r="N30" s="36" t="str">
        <f>IF(A30="","",INDEX('Registro Incidencias'!AE$5:AE$200,A30))</f>
        <v/>
      </c>
      <c r="O30" s="33" t="str">
        <f>IF(A30="","",INDEX('Registro Incidencias'!AK$5:AK$200,A30))</f>
        <v/>
      </c>
      <c r="P30" s="63" t="str">
        <f>IF(A30="","",INDEX('Registro Incidencias'!AU$5:AU$200,A30))</f>
        <v/>
      </c>
      <c r="Q30" s="32" t="str">
        <f>IF(A30="","",INDEX('Registro Incidencias'!AV$5:AV$200,A30))</f>
        <v/>
      </c>
      <c r="R30" s="32"/>
      <c r="S30" s="32"/>
    </row>
    <row r="31" spans="1:19" ht="21.75" customHeight="1" x14ac:dyDescent="0.25">
      <c r="A31" s="125" t="str">
        <f>COUNTIFS('Registro Incidencias'!S$5:S$200,"Raúl",'Registro Incidencias'!T$5:T$200,'📅 Semana'!B$9)&amp;" averías"</f>
        <v>0 averías</v>
      </c>
      <c r="B31" s="125"/>
      <c r="C31" s="125"/>
      <c r="D31" s="125"/>
      <c r="E31" s="125"/>
      <c r="F31" s="125"/>
      <c r="G31" s="125"/>
      <c r="H31" s="125"/>
      <c r="I31" s="125"/>
      <c r="J31" s="2" t="str">
        <f>"Verificadas: "&amp;COUNTIFS(A25:A30,"&lt;&gt;",P25:P30,"&lt;&gt;")&amp;"/"&amp;COUNTIF(A25:A30,"&lt;&gt;")</f>
        <v>Verificadas: 6/6</v>
      </c>
      <c r="K31" s="2"/>
      <c r="L31" s="2"/>
      <c r="M31" s="2"/>
      <c r="N31" s="2"/>
      <c r="O31" s="2"/>
      <c r="P31" s="2"/>
    </row>
    <row r="33" spans="1:19" ht="30" customHeight="1" x14ac:dyDescent="0.25">
      <c r="A33" s="126" t="str">
        <f>TEXT('📅 Semana'!B$10,"DDDD")&amp;"  —  "&amp;TEXT('📅 Semana'!B$10,"DD/MM/")&amp;"2026"</f>
        <v>jueves  —  19/02/2026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</row>
    <row r="34" spans="1:19" ht="30" customHeight="1" x14ac:dyDescent="0.25">
      <c r="A34" s="67" t="s">
        <v>85</v>
      </c>
      <c r="B34" s="67" t="s">
        <v>86</v>
      </c>
      <c r="C34" s="67" t="s">
        <v>18</v>
      </c>
      <c r="D34" s="67" t="s">
        <v>87</v>
      </c>
      <c r="E34" s="67" t="s">
        <v>88</v>
      </c>
      <c r="F34" s="67" t="s">
        <v>89</v>
      </c>
      <c r="G34" s="67" t="s">
        <v>13</v>
      </c>
      <c r="H34" s="67" t="s">
        <v>14</v>
      </c>
      <c r="I34" s="67" t="s">
        <v>90</v>
      </c>
      <c r="J34" s="67" t="s">
        <v>91</v>
      </c>
      <c r="K34" s="67" t="s">
        <v>92</v>
      </c>
      <c r="L34" s="67" t="s">
        <v>93</v>
      </c>
      <c r="M34" s="67" t="s">
        <v>94</v>
      </c>
      <c r="N34" s="67" t="s">
        <v>37</v>
      </c>
      <c r="O34" s="67" t="s">
        <v>43</v>
      </c>
      <c r="P34" s="61" t="s">
        <v>95</v>
      </c>
      <c r="Q34" s="61" t="s">
        <v>96</v>
      </c>
      <c r="R34" s="61" t="s">
        <v>97</v>
      </c>
      <c r="S34" s="61" t="s">
        <v>98</v>
      </c>
    </row>
    <row r="35" spans="1:19" ht="15" customHeight="1" x14ac:dyDescent="0.25">
      <c r="A35" s="25" t="str">
        <f>IFERROR(MATCH(1,INDEX(('Registro Incidencias'!AX$5:AX$200="Raúl"&amp;TEXT('📅 Semana'!B$10,"YYYYMMDD"))*('Registro Incidencias'!AY$5:AY$200=1),),0),"")</f>
        <v/>
      </c>
      <c r="B35" s="62" t="str">
        <f>IF(A35="","",INDEX('Registro Incidencias'!U$5:U$200,A35))</f>
        <v/>
      </c>
      <c r="C35" s="22" t="str">
        <f>IF(A35="","",INDEX('Registro Incidencias'!L$5:L$200,A35))</f>
        <v/>
      </c>
      <c r="D35" s="22" t="str">
        <f>IF(A35="","",INDEX('Registro Incidencias'!A$5:A$200,A35))</f>
        <v/>
      </c>
      <c r="E35" s="22" t="str">
        <f>IF(A35="","",INDEX('Registro Incidencias'!D$5:D$200,A35))</f>
        <v/>
      </c>
      <c r="F35" s="25" t="str">
        <f>IF(A35="","",INDEX('Registro Incidencias'!F$5:F$200,A35))</f>
        <v/>
      </c>
      <c r="G35" s="25" t="str">
        <f>IF(A35="","",INDEX('Registro Incidencias'!G$5:G$200,A35))</f>
        <v/>
      </c>
      <c r="H35" s="25" t="str">
        <f>IF(A35="","",INDEX('Registro Incidencias'!H$5:H$200,A35))</f>
        <v/>
      </c>
      <c r="I35" s="25" t="str">
        <f>IF(A35="","",INDEX('Registro Incidencias'!O$5:O$200,A35))</f>
        <v/>
      </c>
      <c r="J35" s="25" t="str">
        <f>IF(A35="","",INDEX('Registro Incidencias'!R$5:R$200,A35))</f>
        <v/>
      </c>
      <c r="K35" s="25" t="str">
        <f>IF(A35="","",INDEX('Registro Incidencias'!AF$5:AF$200,A35))</f>
        <v/>
      </c>
      <c r="L35" s="28" t="str">
        <f>IF(A35="","",INDEX('Registro Incidencias'!AI$5:AI$200,A35))</f>
        <v/>
      </c>
      <c r="M35" s="22" t="str">
        <f>IF(A35="","",INDEX('Registro Incidencias'!AD$5:AD$200,A35))</f>
        <v/>
      </c>
      <c r="N35" s="25" t="str">
        <f>IF(A35="","",INDEX('Registro Incidencias'!AE$5:AE$200,A35))</f>
        <v/>
      </c>
      <c r="O35" s="22" t="str">
        <f>IF(A35="","",INDEX('Registro Incidencias'!AK$5:AK$200,A35))</f>
        <v/>
      </c>
      <c r="P35" s="63" t="str">
        <f>IF(A35="","",INDEX('Registro Incidencias'!AU$5:AU$200,A35))</f>
        <v/>
      </c>
      <c r="Q35" s="32" t="str">
        <f>IF(A35="","",INDEX('Registro Incidencias'!AV$5:AV$200,A35))</f>
        <v/>
      </c>
      <c r="R35" s="32"/>
      <c r="S35" s="32"/>
    </row>
    <row r="36" spans="1:19" ht="15" customHeight="1" x14ac:dyDescent="0.25">
      <c r="A36" s="36" t="str">
        <f>IFERROR(MATCH(1,INDEX(('Registro Incidencias'!AX$5:AX$200="Raúl"&amp;TEXT('📅 Semana'!B$10,"YYYYMMDD"))*('Registro Incidencias'!AY$5:AY$200=2),),0),"")</f>
        <v/>
      </c>
      <c r="B36" s="64" t="str">
        <f>IF(A36="","",INDEX('Registro Incidencias'!U$5:U$200,A36))</f>
        <v/>
      </c>
      <c r="C36" s="33" t="str">
        <f>IF(A36="","",INDEX('Registro Incidencias'!L$5:L$200,A36))</f>
        <v/>
      </c>
      <c r="D36" s="33" t="str">
        <f>IF(A36="","",INDEX('Registro Incidencias'!A$5:A$200,A36))</f>
        <v/>
      </c>
      <c r="E36" s="33" t="str">
        <f>IF(A36="","",INDEX('Registro Incidencias'!D$5:D$200,A36))</f>
        <v/>
      </c>
      <c r="F36" s="36" t="str">
        <f>IF(A36="","",INDEX('Registro Incidencias'!F$5:F$200,A36))</f>
        <v/>
      </c>
      <c r="G36" s="36" t="str">
        <f>IF(A36="","",INDEX('Registro Incidencias'!G$5:G$200,A36))</f>
        <v/>
      </c>
      <c r="H36" s="36" t="str">
        <f>IF(A36="","",INDEX('Registro Incidencias'!H$5:H$200,A36))</f>
        <v/>
      </c>
      <c r="I36" s="36" t="str">
        <f>IF(A36="","",INDEX('Registro Incidencias'!O$5:O$200,A36))</f>
        <v/>
      </c>
      <c r="J36" s="36" t="str">
        <f>IF(A36="","",INDEX('Registro Incidencias'!R$5:R$200,A36))</f>
        <v/>
      </c>
      <c r="K36" s="36" t="str">
        <f>IF(A36="","",INDEX('Registro Incidencias'!AF$5:AF$200,A36))</f>
        <v/>
      </c>
      <c r="L36" s="39" t="str">
        <f>IF(A36="","",INDEX('Registro Incidencias'!AI$5:AI$200,A36))</f>
        <v/>
      </c>
      <c r="M36" s="33" t="str">
        <f>IF(A36="","",INDEX('Registro Incidencias'!AD$5:AD$200,A36))</f>
        <v/>
      </c>
      <c r="N36" s="36" t="str">
        <f>IF(A36="","",INDEX('Registro Incidencias'!AE$5:AE$200,A36))</f>
        <v/>
      </c>
      <c r="O36" s="33" t="str">
        <f>IF(A36="","",INDEX('Registro Incidencias'!AK$5:AK$200,A36))</f>
        <v/>
      </c>
      <c r="P36" s="63" t="str">
        <f>IF(A36="","",INDEX('Registro Incidencias'!AU$5:AU$200,A36))</f>
        <v/>
      </c>
      <c r="Q36" s="32" t="str">
        <f>IF(A36="","",INDEX('Registro Incidencias'!AV$5:AV$200,A36))</f>
        <v/>
      </c>
      <c r="R36" s="32"/>
      <c r="S36" s="32"/>
    </row>
    <row r="37" spans="1:19" ht="15" customHeight="1" x14ac:dyDescent="0.25">
      <c r="A37" s="25" t="str">
        <f>IFERROR(MATCH(1,INDEX(('Registro Incidencias'!AX$5:AX$200="Raúl"&amp;TEXT('📅 Semana'!B$10,"YYYYMMDD"))*('Registro Incidencias'!AY$5:AY$200=3),),0),"")</f>
        <v/>
      </c>
      <c r="B37" s="62" t="str">
        <f>IF(A37="","",INDEX('Registro Incidencias'!U$5:U$200,A37))</f>
        <v/>
      </c>
      <c r="C37" s="22" t="str">
        <f>IF(A37="","",INDEX('Registro Incidencias'!L$5:L$200,A37))</f>
        <v/>
      </c>
      <c r="D37" s="22" t="str">
        <f>IF(A37="","",INDEX('Registro Incidencias'!A$5:A$200,A37))</f>
        <v/>
      </c>
      <c r="E37" s="22" t="str">
        <f>IF(A37="","",INDEX('Registro Incidencias'!D$5:D$200,A37))</f>
        <v/>
      </c>
      <c r="F37" s="25" t="str">
        <f>IF(A37="","",INDEX('Registro Incidencias'!F$5:F$200,A37))</f>
        <v/>
      </c>
      <c r="G37" s="25" t="str">
        <f>IF(A37="","",INDEX('Registro Incidencias'!G$5:G$200,A37))</f>
        <v/>
      </c>
      <c r="H37" s="25" t="str">
        <f>IF(A37="","",INDEX('Registro Incidencias'!H$5:H$200,A37))</f>
        <v/>
      </c>
      <c r="I37" s="25" t="str">
        <f>IF(A37="","",INDEX('Registro Incidencias'!O$5:O$200,A37))</f>
        <v/>
      </c>
      <c r="J37" s="25" t="str">
        <f>IF(A37="","",INDEX('Registro Incidencias'!R$5:R$200,A37))</f>
        <v/>
      </c>
      <c r="K37" s="25" t="str">
        <f>IF(A37="","",INDEX('Registro Incidencias'!AF$5:AF$200,A37))</f>
        <v/>
      </c>
      <c r="L37" s="28" t="str">
        <f>IF(A37="","",INDEX('Registro Incidencias'!AI$5:AI$200,A37))</f>
        <v/>
      </c>
      <c r="M37" s="22" t="str">
        <f>IF(A37="","",INDEX('Registro Incidencias'!AD$5:AD$200,A37))</f>
        <v/>
      </c>
      <c r="N37" s="25" t="str">
        <f>IF(A37="","",INDEX('Registro Incidencias'!AE$5:AE$200,A37))</f>
        <v/>
      </c>
      <c r="O37" s="22" t="str">
        <f>IF(A37="","",INDEX('Registro Incidencias'!AK$5:AK$200,A37))</f>
        <v/>
      </c>
      <c r="P37" s="63" t="str">
        <f>IF(A37="","",INDEX('Registro Incidencias'!AU$5:AU$200,A37))</f>
        <v/>
      </c>
      <c r="Q37" s="32" t="str">
        <f>IF(A37="","",INDEX('Registro Incidencias'!AV$5:AV$200,A37))</f>
        <v/>
      </c>
      <c r="R37" s="32"/>
      <c r="S37" s="32"/>
    </row>
    <row r="38" spans="1:19" ht="15" customHeight="1" x14ac:dyDescent="0.25">
      <c r="A38" s="36" t="str">
        <f>IFERROR(MATCH(1,INDEX(('Registro Incidencias'!AX$5:AX$200="Raúl"&amp;TEXT('📅 Semana'!B$10,"YYYYMMDD"))*('Registro Incidencias'!AY$5:AY$200=4),),0),"")</f>
        <v/>
      </c>
      <c r="B38" s="64" t="str">
        <f>IF(A38="","",INDEX('Registro Incidencias'!U$5:U$200,A38))</f>
        <v/>
      </c>
      <c r="C38" s="33" t="str">
        <f>IF(A38="","",INDEX('Registro Incidencias'!L$5:L$200,A38))</f>
        <v/>
      </c>
      <c r="D38" s="33" t="str">
        <f>IF(A38="","",INDEX('Registro Incidencias'!A$5:A$200,A38))</f>
        <v/>
      </c>
      <c r="E38" s="33" t="str">
        <f>IF(A38="","",INDEX('Registro Incidencias'!D$5:D$200,A38))</f>
        <v/>
      </c>
      <c r="F38" s="36" t="str">
        <f>IF(A38="","",INDEX('Registro Incidencias'!F$5:F$200,A38))</f>
        <v/>
      </c>
      <c r="G38" s="36" t="str">
        <f>IF(A38="","",INDEX('Registro Incidencias'!G$5:G$200,A38))</f>
        <v/>
      </c>
      <c r="H38" s="36" t="str">
        <f>IF(A38="","",INDEX('Registro Incidencias'!H$5:H$200,A38))</f>
        <v/>
      </c>
      <c r="I38" s="36" t="str">
        <f>IF(A38="","",INDEX('Registro Incidencias'!O$5:O$200,A38))</f>
        <v/>
      </c>
      <c r="J38" s="36" t="str">
        <f>IF(A38="","",INDEX('Registro Incidencias'!R$5:R$200,A38))</f>
        <v/>
      </c>
      <c r="K38" s="36" t="str">
        <f>IF(A38="","",INDEX('Registro Incidencias'!AF$5:AF$200,A38))</f>
        <v/>
      </c>
      <c r="L38" s="39" t="str">
        <f>IF(A38="","",INDEX('Registro Incidencias'!AI$5:AI$200,A38))</f>
        <v/>
      </c>
      <c r="M38" s="33" t="str">
        <f>IF(A38="","",INDEX('Registro Incidencias'!AD$5:AD$200,A38))</f>
        <v/>
      </c>
      <c r="N38" s="36" t="str">
        <f>IF(A38="","",INDEX('Registro Incidencias'!AE$5:AE$200,A38))</f>
        <v/>
      </c>
      <c r="O38" s="33" t="str">
        <f>IF(A38="","",INDEX('Registro Incidencias'!AK$5:AK$200,A38))</f>
        <v/>
      </c>
      <c r="P38" s="63" t="str">
        <f>IF(A38="","",INDEX('Registro Incidencias'!AU$5:AU$200,A38))</f>
        <v/>
      </c>
      <c r="Q38" s="32" t="str">
        <f>IF(A38="","",INDEX('Registro Incidencias'!AV$5:AV$200,A38))</f>
        <v/>
      </c>
      <c r="R38" s="32"/>
      <c r="S38" s="32"/>
    </row>
    <row r="39" spans="1:19" ht="15" customHeight="1" x14ac:dyDescent="0.25">
      <c r="A39" s="25" t="str">
        <f>IFERROR(MATCH(1,INDEX(('Registro Incidencias'!AX$5:AX$200="Raúl"&amp;TEXT('📅 Semana'!B$10,"YYYYMMDD"))*('Registro Incidencias'!AY$5:AY$200=5),),0),"")</f>
        <v/>
      </c>
      <c r="B39" s="62" t="str">
        <f>IF(A39="","",INDEX('Registro Incidencias'!U$5:U$200,A39))</f>
        <v/>
      </c>
      <c r="C39" s="22" t="str">
        <f>IF(A39="","",INDEX('Registro Incidencias'!L$5:L$200,A39))</f>
        <v/>
      </c>
      <c r="D39" s="22" t="str">
        <f>IF(A39="","",INDEX('Registro Incidencias'!A$5:A$200,A39))</f>
        <v/>
      </c>
      <c r="E39" s="22" t="str">
        <f>IF(A39="","",INDEX('Registro Incidencias'!D$5:D$200,A39))</f>
        <v/>
      </c>
      <c r="F39" s="25" t="str">
        <f>IF(A39="","",INDEX('Registro Incidencias'!F$5:F$200,A39))</f>
        <v/>
      </c>
      <c r="G39" s="25" t="str">
        <f>IF(A39="","",INDEX('Registro Incidencias'!G$5:G$200,A39))</f>
        <v/>
      </c>
      <c r="H39" s="25" t="str">
        <f>IF(A39="","",INDEX('Registro Incidencias'!H$5:H$200,A39))</f>
        <v/>
      </c>
      <c r="I39" s="25" t="str">
        <f>IF(A39="","",INDEX('Registro Incidencias'!O$5:O$200,A39))</f>
        <v/>
      </c>
      <c r="J39" s="25" t="str">
        <f>IF(A39="","",INDEX('Registro Incidencias'!R$5:R$200,A39))</f>
        <v/>
      </c>
      <c r="K39" s="25" t="str">
        <f>IF(A39="","",INDEX('Registro Incidencias'!AF$5:AF$200,A39))</f>
        <v/>
      </c>
      <c r="L39" s="28" t="str">
        <f>IF(A39="","",INDEX('Registro Incidencias'!AI$5:AI$200,A39))</f>
        <v/>
      </c>
      <c r="M39" s="22" t="str">
        <f>IF(A39="","",INDEX('Registro Incidencias'!AD$5:AD$200,A39))</f>
        <v/>
      </c>
      <c r="N39" s="25" t="str">
        <f>IF(A39="","",INDEX('Registro Incidencias'!AE$5:AE$200,A39))</f>
        <v/>
      </c>
      <c r="O39" s="22" t="str">
        <f>IF(A39="","",INDEX('Registro Incidencias'!AK$5:AK$200,A39))</f>
        <v/>
      </c>
      <c r="P39" s="63" t="str">
        <f>IF(A39="","",INDEX('Registro Incidencias'!AU$5:AU$200,A39))</f>
        <v/>
      </c>
      <c r="Q39" s="32" t="str">
        <f>IF(A39="","",INDEX('Registro Incidencias'!AV$5:AV$200,A39))</f>
        <v/>
      </c>
      <c r="R39" s="32"/>
      <c r="S39" s="32"/>
    </row>
    <row r="40" spans="1:19" ht="15" customHeight="1" x14ac:dyDescent="0.25">
      <c r="A40" s="36" t="str">
        <f>IFERROR(MATCH(1,INDEX(('Registro Incidencias'!AX$5:AX$200="Raúl"&amp;TEXT('📅 Semana'!B$10,"YYYYMMDD"))*('Registro Incidencias'!AY$5:AY$200=6),),0),"")</f>
        <v/>
      </c>
      <c r="B40" s="64" t="str">
        <f>IF(A40="","",INDEX('Registro Incidencias'!U$5:U$200,A40))</f>
        <v/>
      </c>
      <c r="C40" s="33" t="str">
        <f>IF(A40="","",INDEX('Registro Incidencias'!L$5:L$200,A40))</f>
        <v/>
      </c>
      <c r="D40" s="33" t="str">
        <f>IF(A40="","",INDEX('Registro Incidencias'!A$5:A$200,A40))</f>
        <v/>
      </c>
      <c r="E40" s="33" t="str">
        <f>IF(A40="","",INDEX('Registro Incidencias'!D$5:D$200,A40))</f>
        <v/>
      </c>
      <c r="F40" s="36" t="str">
        <f>IF(A40="","",INDEX('Registro Incidencias'!F$5:F$200,A40))</f>
        <v/>
      </c>
      <c r="G40" s="36" t="str">
        <f>IF(A40="","",INDEX('Registro Incidencias'!G$5:G$200,A40))</f>
        <v/>
      </c>
      <c r="H40" s="36" t="str">
        <f>IF(A40="","",INDEX('Registro Incidencias'!H$5:H$200,A40))</f>
        <v/>
      </c>
      <c r="I40" s="36" t="str">
        <f>IF(A40="","",INDEX('Registro Incidencias'!O$5:O$200,A40))</f>
        <v/>
      </c>
      <c r="J40" s="36" t="str">
        <f>IF(A40="","",INDEX('Registro Incidencias'!R$5:R$200,A40))</f>
        <v/>
      </c>
      <c r="K40" s="36" t="str">
        <f>IF(A40="","",INDEX('Registro Incidencias'!AF$5:AF$200,A40))</f>
        <v/>
      </c>
      <c r="L40" s="39" t="str">
        <f>IF(A40="","",INDEX('Registro Incidencias'!AI$5:AI$200,A40))</f>
        <v/>
      </c>
      <c r="M40" s="33" t="str">
        <f>IF(A40="","",INDEX('Registro Incidencias'!AD$5:AD$200,A40))</f>
        <v/>
      </c>
      <c r="N40" s="36" t="str">
        <f>IF(A40="","",INDEX('Registro Incidencias'!AE$5:AE$200,A40))</f>
        <v/>
      </c>
      <c r="O40" s="33" t="str">
        <f>IF(A40="","",INDEX('Registro Incidencias'!AK$5:AK$200,A40))</f>
        <v/>
      </c>
      <c r="P40" s="63" t="str">
        <f>IF(A40="","",INDEX('Registro Incidencias'!AU$5:AU$200,A40))</f>
        <v/>
      </c>
      <c r="Q40" s="32" t="str">
        <f>IF(A40="","",INDEX('Registro Incidencias'!AV$5:AV$200,A40))</f>
        <v/>
      </c>
      <c r="R40" s="32"/>
      <c r="S40" s="32"/>
    </row>
    <row r="41" spans="1:19" ht="21.75" customHeight="1" x14ac:dyDescent="0.25">
      <c r="A41" s="127" t="str">
        <f>COUNTIFS('Registro Incidencias'!S$5:S$200,"Raúl",'Registro Incidencias'!T$5:T$200,'📅 Semana'!B$10)&amp;" averías"</f>
        <v>0 averías</v>
      </c>
      <c r="B41" s="127"/>
      <c r="C41" s="127"/>
      <c r="D41" s="127"/>
      <c r="E41" s="127"/>
      <c r="F41" s="127"/>
      <c r="G41" s="127"/>
      <c r="H41" s="127"/>
      <c r="I41" s="127"/>
      <c r="J41" s="2" t="str">
        <f>"Verificadas: "&amp;COUNTIFS(A35:A40,"&lt;&gt;",P35:P40,"&lt;&gt;")&amp;"/"&amp;COUNTIF(A35:A40,"&lt;&gt;")</f>
        <v>Verificadas: 6/6</v>
      </c>
      <c r="K41" s="2"/>
      <c r="L41" s="2"/>
      <c r="M41" s="2"/>
      <c r="N41" s="2"/>
      <c r="O41" s="2"/>
      <c r="P41" s="2"/>
    </row>
    <row r="43" spans="1:19" ht="30" customHeight="1" x14ac:dyDescent="0.25">
      <c r="A43" s="128" t="str">
        <f>TEXT('📅 Semana'!B$11,"DDDD")&amp;"  —  "&amp;TEXT('📅 Semana'!B$11,"DD/MM/")&amp;"2026"</f>
        <v>viernes  —  20/02/2026</v>
      </c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</row>
    <row r="44" spans="1:19" ht="30" customHeight="1" x14ac:dyDescent="0.25">
      <c r="A44" s="68" t="s">
        <v>85</v>
      </c>
      <c r="B44" s="68" t="s">
        <v>86</v>
      </c>
      <c r="C44" s="68" t="s">
        <v>18</v>
      </c>
      <c r="D44" s="68" t="s">
        <v>87</v>
      </c>
      <c r="E44" s="68" t="s">
        <v>88</v>
      </c>
      <c r="F44" s="68" t="s">
        <v>89</v>
      </c>
      <c r="G44" s="68" t="s">
        <v>13</v>
      </c>
      <c r="H44" s="68" t="s">
        <v>14</v>
      </c>
      <c r="I44" s="68" t="s">
        <v>90</v>
      </c>
      <c r="J44" s="68" t="s">
        <v>91</v>
      </c>
      <c r="K44" s="68" t="s">
        <v>92</v>
      </c>
      <c r="L44" s="68" t="s">
        <v>93</v>
      </c>
      <c r="M44" s="68" t="s">
        <v>94</v>
      </c>
      <c r="N44" s="68" t="s">
        <v>37</v>
      </c>
      <c r="O44" s="68" t="s">
        <v>43</v>
      </c>
      <c r="P44" s="61" t="s">
        <v>95</v>
      </c>
      <c r="Q44" s="61" t="s">
        <v>96</v>
      </c>
      <c r="R44" s="61" t="s">
        <v>97</v>
      </c>
      <c r="S44" s="61" t="s">
        <v>98</v>
      </c>
    </row>
    <row r="45" spans="1:19" ht="15" customHeight="1" x14ac:dyDescent="0.25">
      <c r="A45" s="25" t="str">
        <f>IFERROR(MATCH(1,INDEX(('Registro Incidencias'!AX$5:AX$200="Raúl"&amp;TEXT('📅 Semana'!B$11,"YYYYMMDD"))*('Registro Incidencias'!AY$5:AY$200=1),),0),"")</f>
        <v/>
      </c>
      <c r="B45" s="62" t="str">
        <f>IF(A45="","",INDEX('Registro Incidencias'!U$5:U$200,A45))</f>
        <v/>
      </c>
      <c r="C45" s="22" t="str">
        <f>IF(A45="","",INDEX('Registro Incidencias'!L$5:L$200,A45))</f>
        <v/>
      </c>
      <c r="D45" s="22" t="str">
        <f>IF(A45="","",INDEX('Registro Incidencias'!A$5:A$200,A45))</f>
        <v/>
      </c>
      <c r="E45" s="22" t="str">
        <f>IF(A45="","",INDEX('Registro Incidencias'!D$5:D$200,A45))</f>
        <v/>
      </c>
      <c r="F45" s="25" t="str">
        <f>IF(A45="","",INDEX('Registro Incidencias'!F$5:F$200,A45))</f>
        <v/>
      </c>
      <c r="G45" s="25" t="str">
        <f>IF(A45="","",INDEX('Registro Incidencias'!G$5:G$200,A45))</f>
        <v/>
      </c>
      <c r="H45" s="25" t="str">
        <f>IF(A45="","",INDEX('Registro Incidencias'!H$5:H$200,A45))</f>
        <v/>
      </c>
      <c r="I45" s="25" t="str">
        <f>IF(A45="","",INDEX('Registro Incidencias'!O$5:O$200,A45))</f>
        <v/>
      </c>
      <c r="J45" s="25" t="str">
        <f>IF(A45="","",INDEX('Registro Incidencias'!R$5:R$200,A45))</f>
        <v/>
      </c>
      <c r="K45" s="25" t="str">
        <f>IF(A45="","",INDEX('Registro Incidencias'!AF$5:AF$200,A45))</f>
        <v/>
      </c>
      <c r="L45" s="28" t="str">
        <f>IF(A45="","",INDEX('Registro Incidencias'!AI$5:AI$200,A45))</f>
        <v/>
      </c>
      <c r="M45" s="22" t="str">
        <f>IF(A45="","",INDEX('Registro Incidencias'!AD$5:AD$200,A45))</f>
        <v/>
      </c>
      <c r="N45" s="25" t="str">
        <f>IF(A45="","",INDEX('Registro Incidencias'!AE$5:AE$200,A45))</f>
        <v/>
      </c>
      <c r="O45" s="22" t="str">
        <f>IF(A45="","",INDEX('Registro Incidencias'!AK$5:AK$200,A45))</f>
        <v/>
      </c>
      <c r="P45" s="63" t="str">
        <f>IF(A45="","",INDEX('Registro Incidencias'!AU$5:AU$200,A45))</f>
        <v/>
      </c>
      <c r="Q45" s="32" t="str">
        <f>IF(A45="","",INDEX('Registro Incidencias'!AV$5:AV$200,A45))</f>
        <v/>
      </c>
      <c r="R45" s="32"/>
      <c r="S45" s="32"/>
    </row>
    <row r="46" spans="1:19" ht="15" customHeight="1" x14ac:dyDescent="0.25">
      <c r="A46" s="36" t="str">
        <f>IFERROR(MATCH(1,INDEX(('Registro Incidencias'!AX$5:AX$200="Raúl"&amp;TEXT('📅 Semana'!B$11,"YYYYMMDD"))*('Registro Incidencias'!AY$5:AY$200=2),),0),"")</f>
        <v/>
      </c>
      <c r="B46" s="64" t="str">
        <f>IF(A46="","",INDEX('Registro Incidencias'!U$5:U$200,A46))</f>
        <v/>
      </c>
      <c r="C46" s="33" t="str">
        <f>IF(A46="","",INDEX('Registro Incidencias'!L$5:L$200,A46))</f>
        <v/>
      </c>
      <c r="D46" s="33" t="str">
        <f>IF(A46="","",INDEX('Registro Incidencias'!A$5:A$200,A46))</f>
        <v/>
      </c>
      <c r="E46" s="33" t="str">
        <f>IF(A46="","",INDEX('Registro Incidencias'!D$5:D$200,A46))</f>
        <v/>
      </c>
      <c r="F46" s="36" t="str">
        <f>IF(A46="","",INDEX('Registro Incidencias'!F$5:F$200,A46))</f>
        <v/>
      </c>
      <c r="G46" s="36" t="str">
        <f>IF(A46="","",INDEX('Registro Incidencias'!G$5:G$200,A46))</f>
        <v/>
      </c>
      <c r="H46" s="36" t="str">
        <f>IF(A46="","",INDEX('Registro Incidencias'!H$5:H$200,A46))</f>
        <v/>
      </c>
      <c r="I46" s="36" t="str">
        <f>IF(A46="","",INDEX('Registro Incidencias'!O$5:O$200,A46))</f>
        <v/>
      </c>
      <c r="J46" s="36" t="str">
        <f>IF(A46="","",INDEX('Registro Incidencias'!R$5:R$200,A46))</f>
        <v/>
      </c>
      <c r="K46" s="36" t="str">
        <f>IF(A46="","",INDEX('Registro Incidencias'!AF$5:AF$200,A46))</f>
        <v/>
      </c>
      <c r="L46" s="39" t="str">
        <f>IF(A46="","",INDEX('Registro Incidencias'!AI$5:AI$200,A46))</f>
        <v/>
      </c>
      <c r="M46" s="33" t="str">
        <f>IF(A46="","",INDEX('Registro Incidencias'!AD$5:AD$200,A46))</f>
        <v/>
      </c>
      <c r="N46" s="36" t="str">
        <f>IF(A46="","",INDEX('Registro Incidencias'!AE$5:AE$200,A46))</f>
        <v/>
      </c>
      <c r="O46" s="33" t="str">
        <f>IF(A46="","",INDEX('Registro Incidencias'!AK$5:AK$200,A46))</f>
        <v/>
      </c>
      <c r="P46" s="63" t="str">
        <f>IF(A46="","",INDEX('Registro Incidencias'!AU$5:AU$200,A46))</f>
        <v/>
      </c>
      <c r="Q46" s="32" t="str">
        <f>IF(A46="","",INDEX('Registro Incidencias'!AV$5:AV$200,A46))</f>
        <v/>
      </c>
      <c r="R46" s="32"/>
      <c r="S46" s="32"/>
    </row>
    <row r="47" spans="1:19" ht="15" customHeight="1" x14ac:dyDescent="0.25">
      <c r="A47" s="25" t="str">
        <f>IFERROR(MATCH(1,INDEX(('Registro Incidencias'!AX$5:AX$200="Raúl"&amp;TEXT('📅 Semana'!B$11,"YYYYMMDD"))*('Registro Incidencias'!AY$5:AY$200=3),),0),"")</f>
        <v/>
      </c>
      <c r="B47" s="62" t="str">
        <f>IF(A47="","",INDEX('Registro Incidencias'!U$5:U$200,A47))</f>
        <v/>
      </c>
      <c r="C47" s="22" t="str">
        <f>IF(A47="","",INDEX('Registro Incidencias'!L$5:L$200,A47))</f>
        <v/>
      </c>
      <c r="D47" s="22" t="str">
        <f>IF(A47="","",INDEX('Registro Incidencias'!A$5:A$200,A47))</f>
        <v/>
      </c>
      <c r="E47" s="22" t="str">
        <f>IF(A47="","",INDEX('Registro Incidencias'!D$5:D$200,A47))</f>
        <v/>
      </c>
      <c r="F47" s="25" t="str">
        <f>IF(A47="","",INDEX('Registro Incidencias'!F$5:F$200,A47))</f>
        <v/>
      </c>
      <c r="G47" s="25" t="str">
        <f>IF(A47="","",INDEX('Registro Incidencias'!G$5:G$200,A47))</f>
        <v/>
      </c>
      <c r="H47" s="25" t="str">
        <f>IF(A47="","",INDEX('Registro Incidencias'!H$5:H$200,A47))</f>
        <v/>
      </c>
      <c r="I47" s="25" t="str">
        <f>IF(A47="","",INDEX('Registro Incidencias'!O$5:O$200,A47))</f>
        <v/>
      </c>
      <c r="J47" s="25" t="str">
        <f>IF(A47="","",INDEX('Registro Incidencias'!R$5:R$200,A47))</f>
        <v/>
      </c>
      <c r="K47" s="25" t="str">
        <f>IF(A47="","",INDEX('Registro Incidencias'!AF$5:AF$200,A47))</f>
        <v/>
      </c>
      <c r="L47" s="28" t="str">
        <f>IF(A47="","",INDEX('Registro Incidencias'!AI$5:AI$200,A47))</f>
        <v/>
      </c>
      <c r="M47" s="22" t="str">
        <f>IF(A47="","",INDEX('Registro Incidencias'!AD$5:AD$200,A47))</f>
        <v/>
      </c>
      <c r="N47" s="25" t="str">
        <f>IF(A47="","",INDEX('Registro Incidencias'!AE$5:AE$200,A47))</f>
        <v/>
      </c>
      <c r="O47" s="22" t="str">
        <f>IF(A47="","",INDEX('Registro Incidencias'!AK$5:AK$200,A47))</f>
        <v/>
      </c>
      <c r="P47" s="63" t="str">
        <f>IF(A47="","",INDEX('Registro Incidencias'!AU$5:AU$200,A47))</f>
        <v/>
      </c>
      <c r="Q47" s="32" t="str">
        <f>IF(A47="","",INDEX('Registro Incidencias'!AV$5:AV$200,A47))</f>
        <v/>
      </c>
      <c r="R47" s="32"/>
      <c r="S47" s="32"/>
    </row>
    <row r="48" spans="1:19" ht="15" customHeight="1" x14ac:dyDescent="0.25">
      <c r="A48" s="36" t="str">
        <f>IFERROR(MATCH(1,INDEX(('Registro Incidencias'!AX$5:AX$200="Raúl"&amp;TEXT('📅 Semana'!B$11,"YYYYMMDD"))*('Registro Incidencias'!AY$5:AY$200=4),),0),"")</f>
        <v/>
      </c>
      <c r="B48" s="64" t="str">
        <f>IF(A48="","",INDEX('Registro Incidencias'!U$5:U$200,A48))</f>
        <v/>
      </c>
      <c r="C48" s="33" t="str">
        <f>IF(A48="","",INDEX('Registro Incidencias'!L$5:L$200,A48))</f>
        <v/>
      </c>
      <c r="D48" s="33" t="str">
        <f>IF(A48="","",INDEX('Registro Incidencias'!A$5:A$200,A48))</f>
        <v/>
      </c>
      <c r="E48" s="33" t="str">
        <f>IF(A48="","",INDEX('Registro Incidencias'!D$5:D$200,A48))</f>
        <v/>
      </c>
      <c r="F48" s="36" t="str">
        <f>IF(A48="","",INDEX('Registro Incidencias'!F$5:F$200,A48))</f>
        <v/>
      </c>
      <c r="G48" s="36" t="str">
        <f>IF(A48="","",INDEX('Registro Incidencias'!G$5:G$200,A48))</f>
        <v/>
      </c>
      <c r="H48" s="36" t="str">
        <f>IF(A48="","",INDEX('Registro Incidencias'!H$5:H$200,A48))</f>
        <v/>
      </c>
      <c r="I48" s="36" t="str">
        <f>IF(A48="","",INDEX('Registro Incidencias'!O$5:O$200,A48))</f>
        <v/>
      </c>
      <c r="J48" s="36" t="str">
        <f>IF(A48="","",INDEX('Registro Incidencias'!R$5:R$200,A48))</f>
        <v/>
      </c>
      <c r="K48" s="36" t="str">
        <f>IF(A48="","",INDEX('Registro Incidencias'!AF$5:AF$200,A48))</f>
        <v/>
      </c>
      <c r="L48" s="39" t="str">
        <f>IF(A48="","",INDEX('Registro Incidencias'!AI$5:AI$200,A48))</f>
        <v/>
      </c>
      <c r="M48" s="33" t="str">
        <f>IF(A48="","",INDEX('Registro Incidencias'!AD$5:AD$200,A48))</f>
        <v/>
      </c>
      <c r="N48" s="36" t="str">
        <f>IF(A48="","",INDEX('Registro Incidencias'!AE$5:AE$200,A48))</f>
        <v/>
      </c>
      <c r="O48" s="33" t="str">
        <f>IF(A48="","",INDEX('Registro Incidencias'!AK$5:AK$200,A48))</f>
        <v/>
      </c>
      <c r="P48" s="63" t="str">
        <f>IF(A48="","",INDEX('Registro Incidencias'!AU$5:AU$200,A48))</f>
        <v/>
      </c>
      <c r="Q48" s="32" t="str">
        <f>IF(A48="","",INDEX('Registro Incidencias'!AV$5:AV$200,A48))</f>
        <v/>
      </c>
      <c r="R48" s="32"/>
      <c r="S48" s="32"/>
    </row>
    <row r="49" spans="1:19" ht="15" customHeight="1" x14ac:dyDescent="0.25">
      <c r="A49" s="25" t="str">
        <f>IFERROR(MATCH(1,INDEX(('Registro Incidencias'!AX$5:AX$200="Raúl"&amp;TEXT('📅 Semana'!B$11,"YYYYMMDD"))*('Registro Incidencias'!AY$5:AY$200=5),),0),"")</f>
        <v/>
      </c>
      <c r="B49" s="62" t="str">
        <f>IF(A49="","",INDEX('Registro Incidencias'!U$5:U$200,A49))</f>
        <v/>
      </c>
      <c r="C49" s="22" t="str">
        <f>IF(A49="","",INDEX('Registro Incidencias'!L$5:L$200,A49))</f>
        <v/>
      </c>
      <c r="D49" s="22" t="str">
        <f>IF(A49="","",INDEX('Registro Incidencias'!A$5:A$200,A49))</f>
        <v/>
      </c>
      <c r="E49" s="22" t="str">
        <f>IF(A49="","",INDEX('Registro Incidencias'!D$5:D$200,A49))</f>
        <v/>
      </c>
      <c r="F49" s="25" t="str">
        <f>IF(A49="","",INDEX('Registro Incidencias'!F$5:F$200,A49))</f>
        <v/>
      </c>
      <c r="G49" s="25" t="str">
        <f>IF(A49="","",INDEX('Registro Incidencias'!G$5:G$200,A49))</f>
        <v/>
      </c>
      <c r="H49" s="25" t="str">
        <f>IF(A49="","",INDEX('Registro Incidencias'!H$5:H$200,A49))</f>
        <v/>
      </c>
      <c r="I49" s="25" t="str">
        <f>IF(A49="","",INDEX('Registro Incidencias'!O$5:O$200,A49))</f>
        <v/>
      </c>
      <c r="J49" s="25" t="str">
        <f>IF(A49="","",INDEX('Registro Incidencias'!R$5:R$200,A49))</f>
        <v/>
      </c>
      <c r="K49" s="25" t="str">
        <f>IF(A49="","",INDEX('Registro Incidencias'!AF$5:AF$200,A49))</f>
        <v/>
      </c>
      <c r="L49" s="28" t="str">
        <f>IF(A49="","",INDEX('Registro Incidencias'!AI$5:AI$200,A49))</f>
        <v/>
      </c>
      <c r="M49" s="22" t="str">
        <f>IF(A49="","",INDEX('Registro Incidencias'!AD$5:AD$200,A49))</f>
        <v/>
      </c>
      <c r="N49" s="25" t="str">
        <f>IF(A49="","",INDEX('Registro Incidencias'!AE$5:AE$200,A49))</f>
        <v/>
      </c>
      <c r="O49" s="22" t="str">
        <f>IF(A49="","",INDEX('Registro Incidencias'!AK$5:AK$200,A49))</f>
        <v/>
      </c>
      <c r="P49" s="63" t="str">
        <f>IF(A49="","",INDEX('Registro Incidencias'!AU$5:AU$200,A49))</f>
        <v/>
      </c>
      <c r="Q49" s="32" t="str">
        <f>IF(A49="","",INDEX('Registro Incidencias'!AV$5:AV$200,A49))</f>
        <v/>
      </c>
      <c r="R49" s="32"/>
      <c r="S49" s="32"/>
    </row>
    <row r="50" spans="1:19" ht="15" customHeight="1" x14ac:dyDescent="0.25">
      <c r="A50" s="36" t="str">
        <f>IFERROR(MATCH(1,INDEX(('Registro Incidencias'!AX$5:AX$200="Raúl"&amp;TEXT('📅 Semana'!B$11,"YYYYMMDD"))*('Registro Incidencias'!AY$5:AY$200=6),),0),"")</f>
        <v/>
      </c>
      <c r="B50" s="64" t="str">
        <f>IF(A50="","",INDEX('Registro Incidencias'!U$5:U$200,A50))</f>
        <v/>
      </c>
      <c r="C50" s="33" t="str">
        <f>IF(A50="","",INDEX('Registro Incidencias'!L$5:L$200,A50))</f>
        <v/>
      </c>
      <c r="D50" s="33" t="str">
        <f>IF(A50="","",INDEX('Registro Incidencias'!A$5:A$200,A50))</f>
        <v/>
      </c>
      <c r="E50" s="33" t="str">
        <f>IF(A50="","",INDEX('Registro Incidencias'!D$5:D$200,A50))</f>
        <v/>
      </c>
      <c r="F50" s="36" t="str">
        <f>IF(A50="","",INDEX('Registro Incidencias'!F$5:F$200,A50))</f>
        <v/>
      </c>
      <c r="G50" s="36" t="str">
        <f>IF(A50="","",INDEX('Registro Incidencias'!G$5:G$200,A50))</f>
        <v/>
      </c>
      <c r="H50" s="36" t="str">
        <f>IF(A50="","",INDEX('Registro Incidencias'!H$5:H$200,A50))</f>
        <v/>
      </c>
      <c r="I50" s="36" t="str">
        <f>IF(A50="","",INDEX('Registro Incidencias'!O$5:O$200,A50))</f>
        <v/>
      </c>
      <c r="J50" s="36" t="str">
        <f>IF(A50="","",INDEX('Registro Incidencias'!R$5:R$200,A50))</f>
        <v/>
      </c>
      <c r="K50" s="36" t="str">
        <f>IF(A50="","",INDEX('Registro Incidencias'!AF$5:AF$200,A50))</f>
        <v/>
      </c>
      <c r="L50" s="39" t="str">
        <f>IF(A50="","",INDEX('Registro Incidencias'!AI$5:AI$200,A50))</f>
        <v/>
      </c>
      <c r="M50" s="33" t="str">
        <f>IF(A50="","",INDEX('Registro Incidencias'!AD$5:AD$200,A50))</f>
        <v/>
      </c>
      <c r="N50" s="36" t="str">
        <f>IF(A50="","",INDEX('Registro Incidencias'!AE$5:AE$200,A50))</f>
        <v/>
      </c>
      <c r="O50" s="33" t="str">
        <f>IF(A50="","",INDEX('Registro Incidencias'!AK$5:AK$200,A50))</f>
        <v/>
      </c>
      <c r="P50" s="63" t="str">
        <f>IF(A50="","",INDEX('Registro Incidencias'!AU$5:AU$200,A50))</f>
        <v/>
      </c>
      <c r="Q50" s="32" t="str">
        <f>IF(A50="","",INDEX('Registro Incidencias'!AV$5:AV$200,A50))</f>
        <v/>
      </c>
      <c r="R50" s="32"/>
      <c r="S50" s="32"/>
    </row>
    <row r="51" spans="1:19" ht="21.75" customHeight="1" x14ac:dyDescent="0.25">
      <c r="A51" s="129" t="str">
        <f>COUNTIFS('Registro Incidencias'!S$5:S$200,"Raúl",'Registro Incidencias'!T$5:T$200,'📅 Semana'!B$11)&amp;" averías"</f>
        <v>0 averías</v>
      </c>
      <c r="B51" s="129"/>
      <c r="C51" s="129"/>
      <c r="D51" s="129"/>
      <c r="E51" s="129"/>
      <c r="F51" s="129"/>
      <c r="G51" s="129"/>
      <c r="H51" s="129"/>
      <c r="I51" s="129"/>
      <c r="J51" s="2" t="str">
        <f>"Verificadas: "&amp;COUNTIFS(A45:A50,"&lt;&gt;",P45:P50,"&lt;&gt;")&amp;"/"&amp;COUNTIF(A45:A50,"&lt;&gt;")</f>
        <v>Verificadas: 6/6</v>
      </c>
      <c r="K51" s="2"/>
      <c r="L51" s="2"/>
      <c r="M51" s="2"/>
      <c r="N51" s="2"/>
      <c r="O51" s="2"/>
      <c r="P51" s="2"/>
    </row>
    <row r="53" spans="1:19" ht="30" customHeight="1" x14ac:dyDescent="0.25">
      <c r="A53" s="130" t="str">
        <f>TEXT('📅 Semana'!B$12,"DDDD")&amp;"  —  "&amp;TEXT('📅 Semana'!B$12,"DD/MM/")&amp;"2026"</f>
        <v>sábado  —  21/02/2026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</row>
    <row r="54" spans="1:19" ht="30" customHeight="1" x14ac:dyDescent="0.25">
      <c r="A54" s="69" t="s">
        <v>85</v>
      </c>
      <c r="B54" s="69" t="s">
        <v>86</v>
      </c>
      <c r="C54" s="69" t="s">
        <v>18</v>
      </c>
      <c r="D54" s="69" t="s">
        <v>87</v>
      </c>
      <c r="E54" s="69" t="s">
        <v>88</v>
      </c>
      <c r="F54" s="69" t="s">
        <v>89</v>
      </c>
      <c r="G54" s="69" t="s">
        <v>13</v>
      </c>
      <c r="H54" s="69" t="s">
        <v>14</v>
      </c>
      <c r="I54" s="69" t="s">
        <v>90</v>
      </c>
      <c r="J54" s="69" t="s">
        <v>91</v>
      </c>
      <c r="K54" s="69" t="s">
        <v>92</v>
      </c>
      <c r="L54" s="69" t="s">
        <v>93</v>
      </c>
      <c r="M54" s="69" t="s">
        <v>94</v>
      </c>
      <c r="N54" s="69" t="s">
        <v>37</v>
      </c>
      <c r="O54" s="69" t="s">
        <v>43</v>
      </c>
      <c r="P54" s="61" t="s">
        <v>95</v>
      </c>
      <c r="Q54" s="61" t="s">
        <v>96</v>
      </c>
      <c r="R54" s="61" t="s">
        <v>97</v>
      </c>
      <c r="S54" s="61" t="s">
        <v>98</v>
      </c>
    </row>
    <row r="55" spans="1:19" ht="15" customHeight="1" x14ac:dyDescent="0.25">
      <c r="A55" s="25" t="str">
        <f>IFERROR(MATCH(1,INDEX(('Registro Incidencias'!AX$5:AX$200="Raúl"&amp;TEXT('📅 Semana'!B$12,"YYYYMMDD"))*('Registro Incidencias'!AY$5:AY$200=1),),0),"")</f>
        <v/>
      </c>
      <c r="B55" s="62" t="str">
        <f>IF(A55="","",INDEX('Registro Incidencias'!U$5:U$200,A55))</f>
        <v/>
      </c>
      <c r="C55" s="22" t="str">
        <f>IF(A55="","",INDEX('Registro Incidencias'!L$5:L$200,A55))</f>
        <v/>
      </c>
      <c r="D55" s="22" t="str">
        <f>IF(A55="","",INDEX('Registro Incidencias'!A$5:A$200,A55))</f>
        <v/>
      </c>
      <c r="E55" s="22" t="str">
        <f>IF(A55="","",INDEX('Registro Incidencias'!D$5:D$200,A55))</f>
        <v/>
      </c>
      <c r="F55" s="25" t="str">
        <f>IF(A55="","",INDEX('Registro Incidencias'!F$5:F$200,A55))</f>
        <v/>
      </c>
      <c r="G55" s="25" t="str">
        <f>IF(A55="","",INDEX('Registro Incidencias'!G$5:G$200,A55))</f>
        <v/>
      </c>
      <c r="H55" s="25" t="str">
        <f>IF(A55="","",INDEX('Registro Incidencias'!H$5:H$200,A55))</f>
        <v/>
      </c>
      <c r="I55" s="25" t="str">
        <f>IF(A55="","",INDEX('Registro Incidencias'!O$5:O$200,A55))</f>
        <v/>
      </c>
      <c r="J55" s="25" t="str">
        <f>IF(A55="","",INDEX('Registro Incidencias'!R$5:R$200,A55))</f>
        <v/>
      </c>
      <c r="K55" s="25" t="str">
        <f>IF(A55="","",INDEX('Registro Incidencias'!AF$5:AF$200,A55))</f>
        <v/>
      </c>
      <c r="L55" s="28" t="str">
        <f>IF(A55="","",INDEX('Registro Incidencias'!AI$5:AI$200,A55))</f>
        <v/>
      </c>
      <c r="M55" s="22" t="str">
        <f>IF(A55="","",INDEX('Registro Incidencias'!AD$5:AD$200,A55))</f>
        <v/>
      </c>
      <c r="N55" s="25" t="str">
        <f>IF(A55="","",INDEX('Registro Incidencias'!AE$5:AE$200,A55))</f>
        <v/>
      </c>
      <c r="O55" s="22" t="str">
        <f>IF(A55="","",INDEX('Registro Incidencias'!AK$5:AK$200,A55))</f>
        <v/>
      </c>
      <c r="P55" s="63" t="str">
        <f>IF(A55="","",INDEX('Registro Incidencias'!AU$5:AU$200,A55))</f>
        <v/>
      </c>
      <c r="Q55" s="32" t="str">
        <f>IF(A55="","",INDEX('Registro Incidencias'!AV$5:AV$200,A55))</f>
        <v/>
      </c>
      <c r="R55" s="32"/>
      <c r="S55" s="32"/>
    </row>
    <row r="56" spans="1:19" ht="15" customHeight="1" x14ac:dyDescent="0.25">
      <c r="A56" s="36" t="str">
        <f>IFERROR(MATCH(1,INDEX(('Registro Incidencias'!AX$5:AX$200="Raúl"&amp;TEXT('📅 Semana'!B$12,"YYYYMMDD"))*('Registro Incidencias'!AY$5:AY$200=2),),0),"")</f>
        <v/>
      </c>
      <c r="B56" s="64" t="str">
        <f>IF(A56="","",INDEX('Registro Incidencias'!U$5:U$200,A56))</f>
        <v/>
      </c>
      <c r="C56" s="33" t="str">
        <f>IF(A56="","",INDEX('Registro Incidencias'!L$5:L$200,A56))</f>
        <v/>
      </c>
      <c r="D56" s="33" t="str">
        <f>IF(A56="","",INDEX('Registro Incidencias'!A$5:A$200,A56))</f>
        <v/>
      </c>
      <c r="E56" s="33" t="str">
        <f>IF(A56="","",INDEX('Registro Incidencias'!D$5:D$200,A56))</f>
        <v/>
      </c>
      <c r="F56" s="36" t="str">
        <f>IF(A56="","",INDEX('Registro Incidencias'!F$5:F$200,A56))</f>
        <v/>
      </c>
      <c r="G56" s="36" t="str">
        <f>IF(A56="","",INDEX('Registro Incidencias'!G$5:G$200,A56))</f>
        <v/>
      </c>
      <c r="H56" s="36" t="str">
        <f>IF(A56="","",INDEX('Registro Incidencias'!H$5:H$200,A56))</f>
        <v/>
      </c>
      <c r="I56" s="36" t="str">
        <f>IF(A56="","",INDEX('Registro Incidencias'!O$5:O$200,A56))</f>
        <v/>
      </c>
      <c r="J56" s="36" t="str">
        <f>IF(A56="","",INDEX('Registro Incidencias'!R$5:R$200,A56))</f>
        <v/>
      </c>
      <c r="K56" s="36" t="str">
        <f>IF(A56="","",INDEX('Registro Incidencias'!AF$5:AF$200,A56))</f>
        <v/>
      </c>
      <c r="L56" s="39" t="str">
        <f>IF(A56="","",INDEX('Registro Incidencias'!AI$5:AI$200,A56))</f>
        <v/>
      </c>
      <c r="M56" s="33" t="str">
        <f>IF(A56="","",INDEX('Registro Incidencias'!AD$5:AD$200,A56))</f>
        <v/>
      </c>
      <c r="N56" s="36" t="str">
        <f>IF(A56="","",INDEX('Registro Incidencias'!AE$5:AE$200,A56))</f>
        <v/>
      </c>
      <c r="O56" s="33" t="str">
        <f>IF(A56="","",INDEX('Registro Incidencias'!AK$5:AK$200,A56))</f>
        <v/>
      </c>
      <c r="P56" s="63" t="str">
        <f>IF(A56="","",INDEX('Registro Incidencias'!AU$5:AU$200,A56))</f>
        <v/>
      </c>
      <c r="Q56" s="32" t="str">
        <f>IF(A56="","",INDEX('Registro Incidencias'!AV$5:AV$200,A56))</f>
        <v/>
      </c>
      <c r="R56" s="32"/>
      <c r="S56" s="32"/>
    </row>
    <row r="57" spans="1:19" ht="15" customHeight="1" x14ac:dyDescent="0.25">
      <c r="A57" s="25" t="str">
        <f>IFERROR(MATCH(1,INDEX(('Registro Incidencias'!AX$5:AX$200="Raúl"&amp;TEXT('📅 Semana'!B$12,"YYYYMMDD"))*('Registro Incidencias'!AY$5:AY$200=3),),0),"")</f>
        <v/>
      </c>
      <c r="B57" s="62" t="str">
        <f>IF(A57="","",INDEX('Registro Incidencias'!U$5:U$200,A57))</f>
        <v/>
      </c>
      <c r="C57" s="22" t="str">
        <f>IF(A57="","",INDEX('Registro Incidencias'!L$5:L$200,A57))</f>
        <v/>
      </c>
      <c r="D57" s="22" t="str">
        <f>IF(A57="","",INDEX('Registro Incidencias'!A$5:A$200,A57))</f>
        <v/>
      </c>
      <c r="E57" s="22" t="str">
        <f>IF(A57="","",INDEX('Registro Incidencias'!D$5:D$200,A57))</f>
        <v/>
      </c>
      <c r="F57" s="25" t="str">
        <f>IF(A57="","",INDEX('Registro Incidencias'!F$5:F$200,A57))</f>
        <v/>
      </c>
      <c r="G57" s="25" t="str">
        <f>IF(A57="","",INDEX('Registro Incidencias'!G$5:G$200,A57))</f>
        <v/>
      </c>
      <c r="H57" s="25" t="str">
        <f>IF(A57="","",INDEX('Registro Incidencias'!H$5:H$200,A57))</f>
        <v/>
      </c>
      <c r="I57" s="25" t="str">
        <f>IF(A57="","",INDEX('Registro Incidencias'!O$5:O$200,A57))</f>
        <v/>
      </c>
      <c r="J57" s="25" t="str">
        <f>IF(A57="","",INDEX('Registro Incidencias'!R$5:R$200,A57))</f>
        <v/>
      </c>
      <c r="K57" s="25" t="str">
        <f>IF(A57="","",INDEX('Registro Incidencias'!AF$5:AF$200,A57))</f>
        <v/>
      </c>
      <c r="L57" s="28" t="str">
        <f>IF(A57="","",INDEX('Registro Incidencias'!AI$5:AI$200,A57))</f>
        <v/>
      </c>
      <c r="M57" s="22" t="str">
        <f>IF(A57="","",INDEX('Registro Incidencias'!AD$5:AD$200,A57))</f>
        <v/>
      </c>
      <c r="N57" s="25" t="str">
        <f>IF(A57="","",INDEX('Registro Incidencias'!AE$5:AE$200,A57))</f>
        <v/>
      </c>
      <c r="O57" s="22" t="str">
        <f>IF(A57="","",INDEX('Registro Incidencias'!AK$5:AK$200,A57))</f>
        <v/>
      </c>
      <c r="P57" s="63" t="str">
        <f>IF(A57="","",INDEX('Registro Incidencias'!AU$5:AU$200,A57))</f>
        <v/>
      </c>
      <c r="Q57" s="32" t="str">
        <f>IF(A57="","",INDEX('Registro Incidencias'!AV$5:AV$200,A57))</f>
        <v/>
      </c>
      <c r="R57" s="32"/>
      <c r="S57" s="32"/>
    </row>
    <row r="58" spans="1:19" ht="15" customHeight="1" x14ac:dyDescent="0.25">
      <c r="A58" s="36" t="str">
        <f>IFERROR(MATCH(1,INDEX(('Registro Incidencias'!AX$5:AX$200="Raúl"&amp;TEXT('📅 Semana'!B$12,"YYYYMMDD"))*('Registro Incidencias'!AY$5:AY$200=4),),0),"")</f>
        <v/>
      </c>
      <c r="B58" s="64" t="str">
        <f>IF(A58="","",INDEX('Registro Incidencias'!U$5:U$200,A58))</f>
        <v/>
      </c>
      <c r="C58" s="33" t="str">
        <f>IF(A58="","",INDEX('Registro Incidencias'!L$5:L$200,A58))</f>
        <v/>
      </c>
      <c r="D58" s="33" t="str">
        <f>IF(A58="","",INDEX('Registro Incidencias'!A$5:A$200,A58))</f>
        <v/>
      </c>
      <c r="E58" s="33" t="str">
        <f>IF(A58="","",INDEX('Registro Incidencias'!D$5:D$200,A58))</f>
        <v/>
      </c>
      <c r="F58" s="36" t="str">
        <f>IF(A58="","",INDEX('Registro Incidencias'!F$5:F$200,A58))</f>
        <v/>
      </c>
      <c r="G58" s="36" t="str">
        <f>IF(A58="","",INDEX('Registro Incidencias'!G$5:G$200,A58))</f>
        <v/>
      </c>
      <c r="H58" s="36" t="str">
        <f>IF(A58="","",INDEX('Registro Incidencias'!H$5:H$200,A58))</f>
        <v/>
      </c>
      <c r="I58" s="36" t="str">
        <f>IF(A58="","",INDEX('Registro Incidencias'!O$5:O$200,A58))</f>
        <v/>
      </c>
      <c r="J58" s="36" t="str">
        <f>IF(A58="","",INDEX('Registro Incidencias'!R$5:R$200,A58))</f>
        <v/>
      </c>
      <c r="K58" s="36" t="str">
        <f>IF(A58="","",INDEX('Registro Incidencias'!AF$5:AF$200,A58))</f>
        <v/>
      </c>
      <c r="L58" s="39" t="str">
        <f>IF(A58="","",INDEX('Registro Incidencias'!AI$5:AI$200,A58))</f>
        <v/>
      </c>
      <c r="M58" s="33" t="str">
        <f>IF(A58="","",INDEX('Registro Incidencias'!AD$5:AD$200,A58))</f>
        <v/>
      </c>
      <c r="N58" s="36" t="str">
        <f>IF(A58="","",INDEX('Registro Incidencias'!AE$5:AE$200,A58))</f>
        <v/>
      </c>
      <c r="O58" s="33" t="str">
        <f>IF(A58="","",INDEX('Registro Incidencias'!AK$5:AK$200,A58))</f>
        <v/>
      </c>
      <c r="P58" s="63" t="str">
        <f>IF(A58="","",INDEX('Registro Incidencias'!AU$5:AU$200,A58))</f>
        <v/>
      </c>
      <c r="Q58" s="32" t="str">
        <f>IF(A58="","",INDEX('Registro Incidencias'!AV$5:AV$200,A58))</f>
        <v/>
      </c>
      <c r="R58" s="32"/>
      <c r="S58" s="32"/>
    </row>
    <row r="59" spans="1:19" ht="15" customHeight="1" x14ac:dyDescent="0.25">
      <c r="A59" s="25" t="str">
        <f>IFERROR(MATCH(1,INDEX(('Registro Incidencias'!AX$5:AX$200="Raúl"&amp;TEXT('📅 Semana'!B$12,"YYYYMMDD"))*('Registro Incidencias'!AY$5:AY$200=5),),0),"")</f>
        <v/>
      </c>
      <c r="B59" s="62" t="str">
        <f>IF(A59="","",INDEX('Registro Incidencias'!U$5:U$200,A59))</f>
        <v/>
      </c>
      <c r="C59" s="22" t="str">
        <f>IF(A59="","",INDEX('Registro Incidencias'!L$5:L$200,A59))</f>
        <v/>
      </c>
      <c r="D59" s="22" t="str">
        <f>IF(A59="","",INDEX('Registro Incidencias'!A$5:A$200,A59))</f>
        <v/>
      </c>
      <c r="E59" s="22" t="str">
        <f>IF(A59="","",INDEX('Registro Incidencias'!D$5:D$200,A59))</f>
        <v/>
      </c>
      <c r="F59" s="25" t="str">
        <f>IF(A59="","",INDEX('Registro Incidencias'!F$5:F$200,A59))</f>
        <v/>
      </c>
      <c r="G59" s="25" t="str">
        <f>IF(A59="","",INDEX('Registro Incidencias'!G$5:G$200,A59))</f>
        <v/>
      </c>
      <c r="H59" s="25" t="str">
        <f>IF(A59="","",INDEX('Registro Incidencias'!H$5:H$200,A59))</f>
        <v/>
      </c>
      <c r="I59" s="25" t="str">
        <f>IF(A59="","",INDEX('Registro Incidencias'!O$5:O$200,A59))</f>
        <v/>
      </c>
      <c r="J59" s="25" t="str">
        <f>IF(A59="","",INDEX('Registro Incidencias'!R$5:R$200,A59))</f>
        <v/>
      </c>
      <c r="K59" s="25" t="str">
        <f>IF(A59="","",INDEX('Registro Incidencias'!AF$5:AF$200,A59))</f>
        <v/>
      </c>
      <c r="L59" s="28" t="str">
        <f>IF(A59="","",INDEX('Registro Incidencias'!AI$5:AI$200,A59))</f>
        <v/>
      </c>
      <c r="M59" s="22" t="str">
        <f>IF(A59="","",INDEX('Registro Incidencias'!AD$5:AD$200,A59))</f>
        <v/>
      </c>
      <c r="N59" s="25" t="str">
        <f>IF(A59="","",INDEX('Registro Incidencias'!AE$5:AE$200,A59))</f>
        <v/>
      </c>
      <c r="O59" s="22" t="str">
        <f>IF(A59="","",INDEX('Registro Incidencias'!AK$5:AK$200,A59))</f>
        <v/>
      </c>
      <c r="P59" s="63" t="str">
        <f>IF(A59="","",INDEX('Registro Incidencias'!AU$5:AU$200,A59))</f>
        <v/>
      </c>
      <c r="Q59" s="32" t="str">
        <f>IF(A59="","",INDEX('Registro Incidencias'!AV$5:AV$200,A59))</f>
        <v/>
      </c>
      <c r="R59" s="32"/>
      <c r="S59" s="32"/>
    </row>
    <row r="60" spans="1:19" ht="15" customHeight="1" x14ac:dyDescent="0.25">
      <c r="A60" s="36" t="str">
        <f>IFERROR(MATCH(1,INDEX(('Registro Incidencias'!AX$5:AX$200="Raúl"&amp;TEXT('📅 Semana'!B$12,"YYYYMMDD"))*('Registro Incidencias'!AY$5:AY$200=6),),0),"")</f>
        <v/>
      </c>
      <c r="B60" s="64" t="str">
        <f>IF(A60="","",INDEX('Registro Incidencias'!U$5:U$200,A60))</f>
        <v/>
      </c>
      <c r="C60" s="33" t="str">
        <f>IF(A60="","",INDEX('Registro Incidencias'!L$5:L$200,A60))</f>
        <v/>
      </c>
      <c r="D60" s="33" t="str">
        <f>IF(A60="","",INDEX('Registro Incidencias'!A$5:A$200,A60))</f>
        <v/>
      </c>
      <c r="E60" s="33" t="str">
        <f>IF(A60="","",INDEX('Registro Incidencias'!D$5:D$200,A60))</f>
        <v/>
      </c>
      <c r="F60" s="36" t="str">
        <f>IF(A60="","",INDEX('Registro Incidencias'!F$5:F$200,A60))</f>
        <v/>
      </c>
      <c r="G60" s="36" t="str">
        <f>IF(A60="","",INDEX('Registro Incidencias'!G$5:G$200,A60))</f>
        <v/>
      </c>
      <c r="H60" s="36" t="str">
        <f>IF(A60="","",INDEX('Registro Incidencias'!H$5:H$200,A60))</f>
        <v/>
      </c>
      <c r="I60" s="36" t="str">
        <f>IF(A60="","",INDEX('Registro Incidencias'!O$5:O$200,A60))</f>
        <v/>
      </c>
      <c r="J60" s="36" t="str">
        <f>IF(A60="","",INDEX('Registro Incidencias'!R$5:R$200,A60))</f>
        <v/>
      </c>
      <c r="K60" s="36" t="str">
        <f>IF(A60="","",INDEX('Registro Incidencias'!AF$5:AF$200,A60))</f>
        <v/>
      </c>
      <c r="L60" s="39" t="str">
        <f>IF(A60="","",INDEX('Registro Incidencias'!AI$5:AI$200,A60))</f>
        <v/>
      </c>
      <c r="M60" s="33" t="str">
        <f>IF(A60="","",INDEX('Registro Incidencias'!AD$5:AD$200,A60))</f>
        <v/>
      </c>
      <c r="N60" s="36" t="str">
        <f>IF(A60="","",INDEX('Registro Incidencias'!AE$5:AE$200,A60))</f>
        <v/>
      </c>
      <c r="O60" s="33" t="str">
        <f>IF(A60="","",INDEX('Registro Incidencias'!AK$5:AK$200,A60))</f>
        <v/>
      </c>
      <c r="P60" s="63" t="str">
        <f>IF(A60="","",INDEX('Registro Incidencias'!AU$5:AU$200,A60))</f>
        <v/>
      </c>
      <c r="Q60" s="32" t="str">
        <f>IF(A60="","",INDEX('Registro Incidencias'!AV$5:AV$200,A60))</f>
        <v/>
      </c>
      <c r="R60" s="32"/>
      <c r="S60" s="32"/>
    </row>
    <row r="61" spans="1:19" ht="21.75" customHeight="1" x14ac:dyDescent="0.25">
      <c r="A61" s="131" t="str">
        <f>COUNTIFS('Registro Incidencias'!S$5:S$200,"Raúl",'Registro Incidencias'!T$5:T$200,'📅 Semana'!B$12)&amp;" averías"</f>
        <v>0 averías</v>
      </c>
      <c r="B61" s="131"/>
      <c r="C61" s="131"/>
      <c r="D61" s="131"/>
      <c r="E61" s="131"/>
      <c r="F61" s="131"/>
      <c r="G61" s="131"/>
      <c r="H61" s="131"/>
      <c r="I61" s="131"/>
      <c r="J61" s="2" t="str">
        <f>"Verificadas: "&amp;COUNTIFS(A55:A60,"&lt;&gt;",P55:P60,"&lt;&gt;")&amp;"/"&amp;COUNTIF(A55:A60,"&lt;&gt;")</f>
        <v>Verificadas: 6/6</v>
      </c>
      <c r="K61" s="2"/>
      <c r="L61" s="2"/>
      <c r="M61" s="2"/>
      <c r="N61" s="2"/>
      <c r="O61" s="2"/>
      <c r="P61" s="2"/>
    </row>
    <row r="63" spans="1:19" ht="30" customHeight="1" x14ac:dyDescent="0.25">
      <c r="A63" s="132" t="str">
        <f>TEXT('📅 Semana'!B$13,"DDDD")&amp;"  —  "&amp;TEXT('📅 Semana'!B$13,"DD/MM/")&amp;"2026"</f>
        <v>domingo  —  22/02/2026</v>
      </c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</row>
    <row r="64" spans="1:19" ht="30" customHeight="1" x14ac:dyDescent="0.25">
      <c r="A64" s="70" t="s">
        <v>85</v>
      </c>
      <c r="B64" s="70" t="s">
        <v>86</v>
      </c>
      <c r="C64" s="70" t="s">
        <v>18</v>
      </c>
      <c r="D64" s="70" t="s">
        <v>87</v>
      </c>
      <c r="E64" s="70" t="s">
        <v>88</v>
      </c>
      <c r="F64" s="70" t="s">
        <v>89</v>
      </c>
      <c r="G64" s="70" t="s">
        <v>13</v>
      </c>
      <c r="H64" s="70" t="s">
        <v>14</v>
      </c>
      <c r="I64" s="70" t="s">
        <v>90</v>
      </c>
      <c r="J64" s="70" t="s">
        <v>91</v>
      </c>
      <c r="K64" s="70" t="s">
        <v>92</v>
      </c>
      <c r="L64" s="70" t="s">
        <v>93</v>
      </c>
      <c r="M64" s="70" t="s">
        <v>94</v>
      </c>
      <c r="N64" s="70" t="s">
        <v>37</v>
      </c>
      <c r="O64" s="70" t="s">
        <v>43</v>
      </c>
      <c r="P64" s="61" t="s">
        <v>95</v>
      </c>
      <c r="Q64" s="61" t="s">
        <v>96</v>
      </c>
      <c r="R64" s="61" t="s">
        <v>97</v>
      </c>
      <c r="S64" s="61" t="s">
        <v>98</v>
      </c>
    </row>
    <row r="65" spans="1:19" ht="15" customHeight="1" x14ac:dyDescent="0.25">
      <c r="A65" s="25" t="str">
        <f>IFERROR(MATCH(1,INDEX(('Registro Incidencias'!AX$5:AX$200="Raúl"&amp;TEXT('📅 Semana'!B$13,"YYYYMMDD"))*('Registro Incidencias'!AY$5:AY$200=1),),0),"")</f>
        <v/>
      </c>
      <c r="B65" s="62" t="str">
        <f>IF(A65="","",INDEX('Registro Incidencias'!U$5:U$200,A65))</f>
        <v/>
      </c>
      <c r="C65" s="22" t="str">
        <f>IF(A65="","",INDEX('Registro Incidencias'!L$5:L$200,A65))</f>
        <v/>
      </c>
      <c r="D65" s="22" t="str">
        <f>IF(A65="","",INDEX('Registro Incidencias'!A$5:A$200,A65))</f>
        <v/>
      </c>
      <c r="E65" s="22" t="str">
        <f>IF(A65="","",INDEX('Registro Incidencias'!D$5:D$200,A65))</f>
        <v/>
      </c>
      <c r="F65" s="25" t="str">
        <f>IF(A65="","",INDEX('Registro Incidencias'!F$5:F$200,A65))</f>
        <v/>
      </c>
      <c r="G65" s="25" t="str">
        <f>IF(A65="","",INDEX('Registro Incidencias'!G$5:G$200,A65))</f>
        <v/>
      </c>
      <c r="H65" s="25" t="str">
        <f>IF(A65="","",INDEX('Registro Incidencias'!H$5:H$200,A65))</f>
        <v/>
      </c>
      <c r="I65" s="25" t="str">
        <f>IF(A65="","",INDEX('Registro Incidencias'!O$5:O$200,A65))</f>
        <v/>
      </c>
      <c r="J65" s="25" t="str">
        <f>IF(A65="","",INDEX('Registro Incidencias'!R$5:R$200,A65))</f>
        <v/>
      </c>
      <c r="K65" s="25" t="str">
        <f>IF(A65="","",INDEX('Registro Incidencias'!AF$5:AF$200,A65))</f>
        <v/>
      </c>
      <c r="L65" s="28" t="str">
        <f>IF(A65="","",INDEX('Registro Incidencias'!AI$5:AI$200,A65))</f>
        <v/>
      </c>
      <c r="M65" s="22" t="str">
        <f>IF(A65="","",INDEX('Registro Incidencias'!AD$5:AD$200,A65))</f>
        <v/>
      </c>
      <c r="N65" s="25" t="str">
        <f>IF(A65="","",INDEX('Registro Incidencias'!AE$5:AE$200,A65))</f>
        <v/>
      </c>
      <c r="O65" s="22" t="str">
        <f>IF(A65="","",INDEX('Registro Incidencias'!AK$5:AK$200,A65))</f>
        <v/>
      </c>
      <c r="P65" s="63" t="str">
        <f>IF(A65="","",INDEX('Registro Incidencias'!AU$5:AU$200,A65))</f>
        <v/>
      </c>
      <c r="Q65" s="32" t="str">
        <f>IF(A65="","",INDEX('Registro Incidencias'!AV$5:AV$200,A65))</f>
        <v/>
      </c>
      <c r="R65" s="32"/>
      <c r="S65" s="32"/>
    </row>
    <row r="66" spans="1:19" ht="15" customHeight="1" x14ac:dyDescent="0.25">
      <c r="A66" s="36" t="str">
        <f>IFERROR(MATCH(1,INDEX(('Registro Incidencias'!AX$5:AX$200="Raúl"&amp;TEXT('📅 Semana'!B$13,"YYYYMMDD"))*('Registro Incidencias'!AY$5:AY$200=2),),0),"")</f>
        <v/>
      </c>
      <c r="B66" s="64" t="str">
        <f>IF(A66="","",INDEX('Registro Incidencias'!U$5:U$200,A66))</f>
        <v/>
      </c>
      <c r="C66" s="33" t="str">
        <f>IF(A66="","",INDEX('Registro Incidencias'!L$5:L$200,A66))</f>
        <v/>
      </c>
      <c r="D66" s="33" t="str">
        <f>IF(A66="","",INDEX('Registro Incidencias'!A$5:A$200,A66))</f>
        <v/>
      </c>
      <c r="E66" s="33" t="str">
        <f>IF(A66="","",INDEX('Registro Incidencias'!D$5:D$200,A66))</f>
        <v/>
      </c>
      <c r="F66" s="36" t="str">
        <f>IF(A66="","",INDEX('Registro Incidencias'!F$5:F$200,A66))</f>
        <v/>
      </c>
      <c r="G66" s="36" t="str">
        <f>IF(A66="","",INDEX('Registro Incidencias'!G$5:G$200,A66))</f>
        <v/>
      </c>
      <c r="H66" s="36" t="str">
        <f>IF(A66="","",INDEX('Registro Incidencias'!H$5:H$200,A66))</f>
        <v/>
      </c>
      <c r="I66" s="36" t="str">
        <f>IF(A66="","",INDEX('Registro Incidencias'!O$5:O$200,A66))</f>
        <v/>
      </c>
      <c r="J66" s="36" t="str">
        <f>IF(A66="","",INDEX('Registro Incidencias'!R$5:R$200,A66))</f>
        <v/>
      </c>
      <c r="K66" s="36" t="str">
        <f>IF(A66="","",INDEX('Registro Incidencias'!AF$5:AF$200,A66))</f>
        <v/>
      </c>
      <c r="L66" s="39" t="str">
        <f>IF(A66="","",INDEX('Registro Incidencias'!AI$5:AI$200,A66))</f>
        <v/>
      </c>
      <c r="M66" s="33" t="str">
        <f>IF(A66="","",INDEX('Registro Incidencias'!AD$5:AD$200,A66))</f>
        <v/>
      </c>
      <c r="N66" s="36" t="str">
        <f>IF(A66="","",INDEX('Registro Incidencias'!AE$5:AE$200,A66))</f>
        <v/>
      </c>
      <c r="O66" s="33" t="str">
        <f>IF(A66="","",INDEX('Registro Incidencias'!AK$5:AK$200,A66))</f>
        <v/>
      </c>
      <c r="P66" s="63" t="str">
        <f>IF(A66="","",INDEX('Registro Incidencias'!AU$5:AU$200,A66))</f>
        <v/>
      </c>
      <c r="Q66" s="32" t="str">
        <f>IF(A66="","",INDEX('Registro Incidencias'!AV$5:AV$200,A66))</f>
        <v/>
      </c>
      <c r="R66" s="32"/>
      <c r="S66" s="32"/>
    </row>
    <row r="67" spans="1:19" ht="15" customHeight="1" x14ac:dyDescent="0.25">
      <c r="A67" s="25" t="str">
        <f>IFERROR(MATCH(1,INDEX(('Registro Incidencias'!AX$5:AX$200="Raúl"&amp;TEXT('📅 Semana'!B$13,"YYYYMMDD"))*('Registro Incidencias'!AY$5:AY$200=3),),0),"")</f>
        <v/>
      </c>
      <c r="B67" s="62" t="str">
        <f>IF(A67="","",INDEX('Registro Incidencias'!U$5:U$200,A67))</f>
        <v/>
      </c>
      <c r="C67" s="22" t="str">
        <f>IF(A67="","",INDEX('Registro Incidencias'!L$5:L$200,A67))</f>
        <v/>
      </c>
      <c r="D67" s="22" t="str">
        <f>IF(A67="","",INDEX('Registro Incidencias'!A$5:A$200,A67))</f>
        <v/>
      </c>
      <c r="E67" s="22" t="str">
        <f>IF(A67="","",INDEX('Registro Incidencias'!D$5:D$200,A67))</f>
        <v/>
      </c>
      <c r="F67" s="25" t="str">
        <f>IF(A67="","",INDEX('Registro Incidencias'!F$5:F$200,A67))</f>
        <v/>
      </c>
      <c r="G67" s="25" t="str">
        <f>IF(A67="","",INDEX('Registro Incidencias'!G$5:G$200,A67))</f>
        <v/>
      </c>
      <c r="H67" s="25" t="str">
        <f>IF(A67="","",INDEX('Registro Incidencias'!H$5:H$200,A67))</f>
        <v/>
      </c>
      <c r="I67" s="25" t="str">
        <f>IF(A67="","",INDEX('Registro Incidencias'!O$5:O$200,A67))</f>
        <v/>
      </c>
      <c r="J67" s="25" t="str">
        <f>IF(A67="","",INDEX('Registro Incidencias'!R$5:R$200,A67))</f>
        <v/>
      </c>
      <c r="K67" s="25" t="str">
        <f>IF(A67="","",INDEX('Registro Incidencias'!AF$5:AF$200,A67))</f>
        <v/>
      </c>
      <c r="L67" s="28" t="str">
        <f>IF(A67="","",INDEX('Registro Incidencias'!AI$5:AI$200,A67))</f>
        <v/>
      </c>
      <c r="M67" s="22" t="str">
        <f>IF(A67="","",INDEX('Registro Incidencias'!AD$5:AD$200,A67))</f>
        <v/>
      </c>
      <c r="N67" s="25" t="str">
        <f>IF(A67="","",INDEX('Registro Incidencias'!AE$5:AE$200,A67))</f>
        <v/>
      </c>
      <c r="O67" s="22" t="str">
        <f>IF(A67="","",INDEX('Registro Incidencias'!AK$5:AK$200,A67))</f>
        <v/>
      </c>
      <c r="P67" s="63" t="str">
        <f>IF(A67="","",INDEX('Registro Incidencias'!AU$5:AU$200,A67))</f>
        <v/>
      </c>
      <c r="Q67" s="32" t="str">
        <f>IF(A67="","",INDEX('Registro Incidencias'!AV$5:AV$200,A67))</f>
        <v/>
      </c>
      <c r="R67" s="32"/>
      <c r="S67" s="32"/>
    </row>
    <row r="68" spans="1:19" ht="15" customHeight="1" x14ac:dyDescent="0.25">
      <c r="A68" s="36" t="str">
        <f>IFERROR(MATCH(1,INDEX(('Registro Incidencias'!AX$5:AX$200="Raúl"&amp;TEXT('📅 Semana'!B$13,"YYYYMMDD"))*('Registro Incidencias'!AY$5:AY$200=4),),0),"")</f>
        <v/>
      </c>
      <c r="B68" s="64" t="str">
        <f>IF(A68="","",INDEX('Registro Incidencias'!U$5:U$200,A68))</f>
        <v/>
      </c>
      <c r="C68" s="33" t="str">
        <f>IF(A68="","",INDEX('Registro Incidencias'!L$5:L$200,A68))</f>
        <v/>
      </c>
      <c r="D68" s="33" t="str">
        <f>IF(A68="","",INDEX('Registro Incidencias'!A$5:A$200,A68))</f>
        <v/>
      </c>
      <c r="E68" s="33" t="str">
        <f>IF(A68="","",INDEX('Registro Incidencias'!D$5:D$200,A68))</f>
        <v/>
      </c>
      <c r="F68" s="36" t="str">
        <f>IF(A68="","",INDEX('Registro Incidencias'!F$5:F$200,A68))</f>
        <v/>
      </c>
      <c r="G68" s="36" t="str">
        <f>IF(A68="","",INDEX('Registro Incidencias'!G$5:G$200,A68))</f>
        <v/>
      </c>
      <c r="H68" s="36" t="str">
        <f>IF(A68="","",INDEX('Registro Incidencias'!H$5:H$200,A68))</f>
        <v/>
      </c>
      <c r="I68" s="36" t="str">
        <f>IF(A68="","",INDEX('Registro Incidencias'!O$5:O$200,A68))</f>
        <v/>
      </c>
      <c r="J68" s="36" t="str">
        <f>IF(A68="","",INDEX('Registro Incidencias'!R$5:R$200,A68))</f>
        <v/>
      </c>
      <c r="K68" s="36" t="str">
        <f>IF(A68="","",INDEX('Registro Incidencias'!AF$5:AF$200,A68))</f>
        <v/>
      </c>
      <c r="L68" s="39" t="str">
        <f>IF(A68="","",INDEX('Registro Incidencias'!AI$5:AI$200,A68))</f>
        <v/>
      </c>
      <c r="M68" s="33" t="str">
        <f>IF(A68="","",INDEX('Registro Incidencias'!AD$5:AD$200,A68))</f>
        <v/>
      </c>
      <c r="N68" s="36" t="str">
        <f>IF(A68="","",INDEX('Registro Incidencias'!AE$5:AE$200,A68))</f>
        <v/>
      </c>
      <c r="O68" s="33" t="str">
        <f>IF(A68="","",INDEX('Registro Incidencias'!AK$5:AK$200,A68))</f>
        <v/>
      </c>
      <c r="P68" s="63" t="str">
        <f>IF(A68="","",INDEX('Registro Incidencias'!AU$5:AU$200,A68))</f>
        <v/>
      </c>
      <c r="Q68" s="32" t="str">
        <f>IF(A68="","",INDEX('Registro Incidencias'!AV$5:AV$200,A68))</f>
        <v/>
      </c>
      <c r="R68" s="32"/>
      <c r="S68" s="32"/>
    </row>
    <row r="69" spans="1:19" ht="15" customHeight="1" x14ac:dyDescent="0.25">
      <c r="A69" s="25" t="str">
        <f>IFERROR(MATCH(1,INDEX(('Registro Incidencias'!AX$5:AX$200="Raúl"&amp;TEXT('📅 Semana'!B$13,"YYYYMMDD"))*('Registro Incidencias'!AY$5:AY$200=5),),0),"")</f>
        <v/>
      </c>
      <c r="B69" s="62" t="str">
        <f>IF(A69="","",INDEX('Registro Incidencias'!U$5:U$200,A69))</f>
        <v/>
      </c>
      <c r="C69" s="22" t="str">
        <f>IF(A69="","",INDEX('Registro Incidencias'!L$5:L$200,A69))</f>
        <v/>
      </c>
      <c r="D69" s="22" t="str">
        <f>IF(A69="","",INDEX('Registro Incidencias'!A$5:A$200,A69))</f>
        <v/>
      </c>
      <c r="E69" s="22" t="str">
        <f>IF(A69="","",INDEX('Registro Incidencias'!D$5:D$200,A69))</f>
        <v/>
      </c>
      <c r="F69" s="25" t="str">
        <f>IF(A69="","",INDEX('Registro Incidencias'!F$5:F$200,A69))</f>
        <v/>
      </c>
      <c r="G69" s="25" t="str">
        <f>IF(A69="","",INDEX('Registro Incidencias'!G$5:G$200,A69))</f>
        <v/>
      </c>
      <c r="H69" s="25" t="str">
        <f>IF(A69="","",INDEX('Registro Incidencias'!H$5:H$200,A69))</f>
        <v/>
      </c>
      <c r="I69" s="25" t="str">
        <f>IF(A69="","",INDEX('Registro Incidencias'!O$5:O$200,A69))</f>
        <v/>
      </c>
      <c r="J69" s="25" t="str">
        <f>IF(A69="","",INDEX('Registro Incidencias'!R$5:R$200,A69))</f>
        <v/>
      </c>
      <c r="K69" s="25" t="str">
        <f>IF(A69="","",INDEX('Registro Incidencias'!AF$5:AF$200,A69))</f>
        <v/>
      </c>
      <c r="L69" s="28" t="str">
        <f>IF(A69="","",INDEX('Registro Incidencias'!AI$5:AI$200,A69))</f>
        <v/>
      </c>
      <c r="M69" s="22" t="str">
        <f>IF(A69="","",INDEX('Registro Incidencias'!AD$5:AD$200,A69))</f>
        <v/>
      </c>
      <c r="N69" s="25" t="str">
        <f>IF(A69="","",INDEX('Registro Incidencias'!AE$5:AE$200,A69))</f>
        <v/>
      </c>
      <c r="O69" s="22" t="str">
        <f>IF(A69="","",INDEX('Registro Incidencias'!AK$5:AK$200,A69))</f>
        <v/>
      </c>
      <c r="P69" s="63" t="str">
        <f>IF(A69="","",INDEX('Registro Incidencias'!AU$5:AU$200,A69))</f>
        <v/>
      </c>
      <c r="Q69" s="32" t="str">
        <f>IF(A69="","",INDEX('Registro Incidencias'!AV$5:AV$200,A69))</f>
        <v/>
      </c>
      <c r="R69" s="32"/>
      <c r="S69" s="32"/>
    </row>
    <row r="70" spans="1:19" ht="15" customHeight="1" x14ac:dyDescent="0.25">
      <c r="A70" s="36" t="str">
        <f>IFERROR(MATCH(1,INDEX(('Registro Incidencias'!AX$5:AX$200="Raúl"&amp;TEXT('📅 Semana'!B$13,"YYYYMMDD"))*('Registro Incidencias'!AY$5:AY$200=6),),0),"")</f>
        <v/>
      </c>
      <c r="B70" s="64" t="str">
        <f>IF(A70="","",INDEX('Registro Incidencias'!U$5:U$200,A70))</f>
        <v/>
      </c>
      <c r="C70" s="33" t="str">
        <f>IF(A70="","",INDEX('Registro Incidencias'!L$5:L$200,A70))</f>
        <v/>
      </c>
      <c r="D70" s="33" t="str">
        <f>IF(A70="","",INDEX('Registro Incidencias'!A$5:A$200,A70))</f>
        <v/>
      </c>
      <c r="E70" s="33" t="str">
        <f>IF(A70="","",INDEX('Registro Incidencias'!D$5:D$200,A70))</f>
        <v/>
      </c>
      <c r="F70" s="36" t="str">
        <f>IF(A70="","",INDEX('Registro Incidencias'!F$5:F$200,A70))</f>
        <v/>
      </c>
      <c r="G70" s="36" t="str">
        <f>IF(A70="","",INDEX('Registro Incidencias'!G$5:G$200,A70))</f>
        <v/>
      </c>
      <c r="H70" s="36" t="str">
        <f>IF(A70="","",INDEX('Registro Incidencias'!H$5:H$200,A70))</f>
        <v/>
      </c>
      <c r="I70" s="36" t="str">
        <f>IF(A70="","",INDEX('Registro Incidencias'!O$5:O$200,A70))</f>
        <v/>
      </c>
      <c r="J70" s="36" t="str">
        <f>IF(A70="","",INDEX('Registro Incidencias'!R$5:R$200,A70))</f>
        <v/>
      </c>
      <c r="K70" s="36" t="str">
        <f>IF(A70="","",INDEX('Registro Incidencias'!AF$5:AF$200,A70))</f>
        <v/>
      </c>
      <c r="L70" s="39" t="str">
        <f>IF(A70="","",INDEX('Registro Incidencias'!AI$5:AI$200,A70))</f>
        <v/>
      </c>
      <c r="M70" s="33" t="str">
        <f>IF(A70="","",INDEX('Registro Incidencias'!AD$5:AD$200,A70))</f>
        <v/>
      </c>
      <c r="N70" s="36" t="str">
        <f>IF(A70="","",INDEX('Registro Incidencias'!AE$5:AE$200,A70))</f>
        <v/>
      </c>
      <c r="O70" s="33" t="str">
        <f>IF(A70="","",INDEX('Registro Incidencias'!AK$5:AK$200,A70))</f>
        <v/>
      </c>
      <c r="P70" s="63" t="str">
        <f>IF(A70="","",INDEX('Registro Incidencias'!AU$5:AU$200,A70))</f>
        <v/>
      </c>
      <c r="Q70" s="32" t="str">
        <f>IF(A70="","",INDEX('Registro Incidencias'!AV$5:AV$200,A70))</f>
        <v/>
      </c>
      <c r="R70" s="32"/>
      <c r="S70" s="32"/>
    </row>
    <row r="71" spans="1:19" ht="21.75" customHeight="1" x14ac:dyDescent="0.25">
      <c r="A71" s="133" t="str">
        <f>COUNTIFS('Registro Incidencias'!S$5:S$200,"Raúl",'Registro Incidencias'!T$5:T$200,'📅 Semana'!B$13)&amp;" averías"</f>
        <v>0 averías</v>
      </c>
      <c r="B71" s="133"/>
      <c r="C71" s="133"/>
      <c r="D71" s="133"/>
      <c r="E71" s="133"/>
      <c r="F71" s="133"/>
      <c r="G71" s="133"/>
      <c r="H71" s="133"/>
      <c r="I71" s="133"/>
      <c r="J71" s="2" t="str">
        <f>"Verificadas: "&amp;COUNTIFS(A65:A70,"&lt;&gt;",P65:P70,"&lt;&gt;")&amp;"/"&amp;COUNTIF(A65:A70,"&lt;&gt;")</f>
        <v>Verificadas: 6/6</v>
      </c>
      <c r="K71" s="2"/>
      <c r="L71" s="2"/>
      <c r="M71" s="2"/>
      <c r="N71" s="2"/>
      <c r="O71" s="2"/>
      <c r="P71" s="2"/>
    </row>
    <row r="74" spans="1:19" ht="15" customHeight="1" x14ac:dyDescent="0.25">
      <c r="A74" s="12" t="s">
        <v>99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1:19" ht="18" customHeight="1" x14ac:dyDescent="0.25">
      <c r="A75" s="134" t="s">
        <v>100</v>
      </c>
      <c r="B75" s="134"/>
      <c r="C75" s="134"/>
      <c r="D75" s="134"/>
      <c r="E75" s="134"/>
      <c r="F75" s="134"/>
      <c r="G75" s="134"/>
      <c r="H75" s="134"/>
      <c r="I75" s="134"/>
      <c r="J75" s="71">
        <f>COUNTIFS('Registro Incidencias'!S$5:S$200,"Raúl",'Registro Incidencias'!T$5:T$200,"&gt;="&amp;'📅 Semana'!B$7,'Registro Incidencias'!T$5:T$200,"&lt;="&amp;'📅 Semana'!B$13)</f>
        <v>0</v>
      </c>
    </row>
    <row r="76" spans="1:19" ht="18" customHeight="1" x14ac:dyDescent="0.25">
      <c r="A76" s="135" t="s">
        <v>101</v>
      </c>
      <c r="B76" s="135"/>
      <c r="C76" s="135"/>
      <c r="D76" s="135"/>
      <c r="E76" s="135"/>
      <c r="F76" s="135"/>
      <c r="G76" s="135"/>
      <c r="H76" s="135"/>
      <c r="I76" s="135"/>
      <c r="J76" s="72">
        <f>COUNTIFS('Registro Incidencias'!S$5:S$200,"Raúl",'Registro Incidencias'!T$5:T$200,"&gt;="&amp;'📅 Semana'!B$7,'Registro Incidencias'!T$5:T$200,"&lt;="&amp;'📅 Semana'!B$13,'Registro Incidencias'!AK$5:AK$200,"*Resuelta*")</f>
        <v>0</v>
      </c>
    </row>
    <row r="77" spans="1:19" ht="18" customHeight="1" x14ac:dyDescent="0.25">
      <c r="A77" s="134" t="s">
        <v>102</v>
      </c>
      <c r="B77" s="134"/>
      <c r="C77" s="134"/>
      <c r="D77" s="134"/>
      <c r="E77" s="134"/>
      <c r="F77" s="134"/>
      <c r="G77" s="134"/>
      <c r="H77" s="134"/>
      <c r="I77" s="134"/>
      <c r="J77" s="71">
        <f>COUNTIFS('Registro Incidencias'!S$5:S$200,"Raúl",'Registro Incidencias'!T$5:T$200,"&gt;="&amp;'📅 Semana'!B$7,'Registro Incidencias'!T$5:T$200,"&lt;="&amp;'📅 Semana'!B$13,'Registro Incidencias'!AK$5:AK$200,"*No resuelta*")</f>
        <v>0</v>
      </c>
    </row>
    <row r="78" spans="1:19" ht="18" customHeight="1" x14ac:dyDescent="0.25">
      <c r="A78" s="135" t="s">
        <v>103</v>
      </c>
      <c r="B78" s="135"/>
      <c r="C78" s="135"/>
      <c r="D78" s="135"/>
      <c r="E78" s="135"/>
      <c r="F78" s="135"/>
      <c r="G78" s="135"/>
      <c r="H78" s="135"/>
      <c r="I78" s="135"/>
      <c r="J78" s="72">
        <f>COUNTIFS('Registro Incidencias'!S$5:S$200,"Raúl",'Registro Incidencias'!T$5:T$200,"&gt;="&amp;'📅 Semana'!B$7,'Registro Incidencias'!T$5:T$200,"&lt;="&amp;'📅 Semana'!B$13,'Registro Incidencias'!AK$5:AK$200,"*Pospuesta*")</f>
        <v>0</v>
      </c>
    </row>
    <row r="79" spans="1:19" ht="18" customHeight="1" x14ac:dyDescent="0.25">
      <c r="A79" s="134" t="s">
        <v>104</v>
      </c>
      <c r="B79" s="134"/>
      <c r="C79" s="134"/>
      <c r="D79" s="134"/>
      <c r="E79" s="134"/>
      <c r="F79" s="134"/>
      <c r="G79" s="134"/>
      <c r="H79" s="134"/>
      <c r="I79" s="134"/>
      <c r="J79" s="71">
        <f>COUNTIFS('Registro Incidencias'!S$5:S$200,"Raúl",'Registro Incidencias'!T$5:T$200,"&gt;="&amp;'📅 Semana'!B$7,'Registro Incidencias'!T$5:T$200,"&lt;="&amp;'📅 Semana'!B$13,'Registro Incidencias'!AD$5:AD$200,"&gt;1")</f>
        <v>0</v>
      </c>
    </row>
    <row r="80" spans="1:19" ht="18" customHeight="1" x14ac:dyDescent="0.25">
      <c r="A80" s="135" t="s">
        <v>105</v>
      </c>
      <c r="B80" s="135"/>
      <c r="C80" s="135"/>
      <c r="D80" s="135"/>
      <c r="E80" s="135"/>
      <c r="F80" s="135"/>
      <c r="G80" s="135"/>
      <c r="H80" s="135"/>
      <c r="I80" s="135"/>
      <c r="J80" s="72">
        <f>COUNTIFS('Registro Incidencias'!S$5:S$200,"Raúl",'Registro Incidencias'!T$5:T$200,"&gt;="&amp;'📅 Semana'!B$7,'Registro Incidencias'!T$5:T$200,"&lt;="&amp;'📅 Semana'!B$13,'Registro Incidencias'!AE$5:AE$200,"Fallo del técnico")</f>
        <v>0</v>
      </c>
    </row>
    <row r="81" spans="1:10" ht="18" customHeight="1" x14ac:dyDescent="0.25">
      <c r="A81" s="134" t="s">
        <v>106</v>
      </c>
      <c r="B81" s="134"/>
      <c r="C81" s="134"/>
      <c r="D81" s="134"/>
      <c r="E81" s="134"/>
      <c r="F81" s="134"/>
      <c r="G81" s="134"/>
      <c r="H81" s="134"/>
      <c r="I81" s="134"/>
      <c r="J81" s="71">
        <f>COUNTIFS('Registro Incidencias'!S$5:S$200,"Raúl",'Registro Incidencias'!T$5:T$200,"&gt;="&amp;'📅 Semana'!B$7,'Registro Incidencias'!T$5:T$200,"&lt;="&amp;'📅 Semana'!B$13,'Registro Incidencias'!AE$5:AE$200,"Falta de material")</f>
        <v>0</v>
      </c>
    </row>
    <row r="82" spans="1:10" ht="18" customHeight="1" x14ac:dyDescent="0.25">
      <c r="A82" s="135" t="s">
        <v>107</v>
      </c>
      <c r="B82" s="135"/>
      <c r="C82" s="135"/>
      <c r="D82" s="135"/>
      <c r="E82" s="135"/>
      <c r="F82" s="135"/>
      <c r="G82" s="135"/>
      <c r="H82" s="135"/>
      <c r="I82" s="135"/>
      <c r="J82" s="73">
        <f>SUMIFS('Registro Incidencias'!AS$5:AS$200,'Registro Incidencias'!S$5:S$200,"Raúl",'Registro Incidencias'!T$5:T$200,"&gt;="&amp;'📅 Semana'!B$7,'Registro Incidencias'!T$5:T$200,"&lt;="&amp;'📅 Semana'!B$13)</f>
        <v>0</v>
      </c>
    </row>
    <row r="83" spans="1:10" ht="18" customHeight="1" x14ac:dyDescent="0.25">
      <c r="A83" s="134" t="s">
        <v>108</v>
      </c>
      <c r="B83" s="134"/>
      <c r="C83" s="134"/>
      <c r="D83" s="134"/>
      <c r="E83" s="134"/>
      <c r="F83" s="134"/>
      <c r="G83" s="134"/>
      <c r="H83" s="134"/>
      <c r="I83" s="134"/>
      <c r="J83" s="71">
        <f>SUMIFS('Registro Incidencias'!X$5:X$200,'Registro Incidencias'!S$5:S$200,"Raúl",'Registro Incidencias'!T$5:T$200,"&gt;="&amp;'📅 Semana'!B$7,'Registro Incidencias'!T$5:T$200,"&lt;="&amp;'📅 Semana'!B$13)</f>
        <v>0</v>
      </c>
    </row>
  </sheetData>
  <mergeCells count="33">
    <mergeCell ref="A79:I79"/>
    <mergeCell ref="A80:I80"/>
    <mergeCell ref="A81:I81"/>
    <mergeCell ref="A82:I82"/>
    <mergeCell ref="A83:I83"/>
    <mergeCell ref="A74:S74"/>
    <mergeCell ref="A75:I75"/>
    <mergeCell ref="A76:I76"/>
    <mergeCell ref="A77:I77"/>
    <mergeCell ref="A78:I78"/>
    <mergeCell ref="A53:S53"/>
    <mergeCell ref="A61:I61"/>
    <mergeCell ref="J61:P61"/>
    <mergeCell ref="A63:S63"/>
    <mergeCell ref="A71:I71"/>
    <mergeCell ref="J71:P71"/>
    <mergeCell ref="A33:S33"/>
    <mergeCell ref="A41:I41"/>
    <mergeCell ref="J41:P41"/>
    <mergeCell ref="A43:S43"/>
    <mergeCell ref="A51:I51"/>
    <mergeCell ref="J51:P51"/>
    <mergeCell ref="A13:S13"/>
    <mergeCell ref="A21:I21"/>
    <mergeCell ref="J21:P21"/>
    <mergeCell ref="A23:S23"/>
    <mergeCell ref="A31:I31"/>
    <mergeCell ref="J31:P31"/>
    <mergeCell ref="A1:S1"/>
    <mergeCell ref="A2:S2"/>
    <mergeCell ref="A3:S3"/>
    <mergeCell ref="A11:I11"/>
    <mergeCell ref="J11:P11"/>
  </mergeCells>
  <conditionalFormatting sqref="A5:R73">
    <cfRule type="expression" dxfId="39" priority="6">
      <formula>OR(ISNUMBER(SEARCH("Resuelta",$O5)),ISNUMBER(SEARCH("Cerrada",$O5)))</formula>
    </cfRule>
    <cfRule type="expression" dxfId="38" priority="7">
      <formula>OR(ISNUMBER(SEARCH("Pospuesta",$O5)),ISNUMBER(SEARCH("Espera",$O5)))</formula>
    </cfRule>
    <cfRule type="expression" dxfId="37" priority="8">
      <formula>ISNUMBER(SEARCH("No resuelta",$O5))</formula>
    </cfRule>
  </conditionalFormatting>
  <conditionalFormatting sqref="C5:C73">
    <cfRule type="expression" dxfId="36" priority="2">
      <formula>NOT(ISERROR(SEARCH("CRÍTICA",C5)))</formula>
    </cfRule>
    <cfRule type="expression" dxfId="35" priority="3">
      <formula>NOT(ISERROR(SEARCH("ALTA",C5)))</formula>
    </cfRule>
    <cfRule type="expression" dxfId="34" priority="4">
      <formula>NOT(ISERROR(SEARCH("MEDIA",C5)))</formula>
    </cfRule>
    <cfRule type="expression" dxfId="33" priority="5">
      <formula>NOT(ISERROR(SEARCH("BAJA",C5)))</formula>
    </cfRule>
  </conditionalFormatting>
  <conditionalFormatting sqref="P5:P73">
    <cfRule type="expression" dxfId="32" priority="9">
      <formula>P5&lt;&gt;""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35400"/>
  </sheetPr>
  <dimension ref="A1:S83"/>
  <sheetViews>
    <sheetView zoomScaleNormal="100" workbookViewId="0">
      <pane ySplit="2" topLeftCell="A3" activePane="bottomLeft" state="frozen"/>
      <selection pane="bottomLeft" sqref="A1:S1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11" customWidth="1"/>
    <col min="4" max="4" width="12" customWidth="1"/>
    <col min="5" max="5" width="10" customWidth="1"/>
    <col min="6" max="6" width="22" customWidth="1"/>
    <col min="7" max="7" width="24" customWidth="1"/>
    <col min="8" max="8" width="13" customWidth="1"/>
    <col min="9" max="9" width="14" customWidth="1"/>
    <col min="10" max="10" width="24" customWidth="1"/>
    <col min="11" max="11" width="22" customWidth="1"/>
    <col min="12" max="12" width="10" customWidth="1"/>
    <col min="13" max="13" width="7" customWidth="1"/>
    <col min="14" max="14" width="20" customWidth="1"/>
    <col min="15" max="15" width="13" customWidth="1"/>
    <col min="16" max="16" width="28" customWidth="1"/>
    <col min="17" max="17" width="14" customWidth="1"/>
    <col min="18" max="18" width="16" customWidth="1"/>
    <col min="19" max="19" width="18" customWidth="1"/>
  </cols>
  <sheetData>
    <row r="1" spans="1:19" ht="42" customHeight="1" x14ac:dyDescent="0.25">
      <c r="A1" s="136" t="s">
        <v>109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</row>
    <row r="2" spans="1:19" ht="25.5" customHeight="1" x14ac:dyDescent="0.25">
      <c r="A2" s="13" t="s">
        <v>84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30" customHeight="1" x14ac:dyDescent="0.25">
      <c r="A3" s="4" t="str">
        <f>TEXT('📅 Semana'!B$7,"DDDD")&amp;"  —  "&amp;TEXT('📅 Semana'!B$7,"DD/MM/")&amp;"2026"</f>
        <v>lunes  —  16/02/2026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30" customHeight="1" x14ac:dyDescent="0.25">
      <c r="A4" s="60" t="s">
        <v>85</v>
      </c>
      <c r="B4" s="60" t="s">
        <v>86</v>
      </c>
      <c r="C4" s="60" t="s">
        <v>18</v>
      </c>
      <c r="D4" s="60" t="s">
        <v>87</v>
      </c>
      <c r="E4" s="60" t="s">
        <v>88</v>
      </c>
      <c r="F4" s="60" t="s">
        <v>89</v>
      </c>
      <c r="G4" s="60" t="s">
        <v>13</v>
      </c>
      <c r="H4" s="60" t="s">
        <v>14</v>
      </c>
      <c r="I4" s="60" t="s">
        <v>90</v>
      </c>
      <c r="J4" s="60" t="s">
        <v>91</v>
      </c>
      <c r="K4" s="60" t="s">
        <v>92</v>
      </c>
      <c r="L4" s="60" t="s">
        <v>93</v>
      </c>
      <c r="M4" s="60" t="s">
        <v>94</v>
      </c>
      <c r="N4" s="60" t="s">
        <v>37</v>
      </c>
      <c r="O4" s="60" t="s">
        <v>43</v>
      </c>
      <c r="P4" s="61" t="s">
        <v>95</v>
      </c>
      <c r="Q4" s="61" t="s">
        <v>96</v>
      </c>
      <c r="R4" s="61" t="s">
        <v>97</v>
      </c>
      <c r="S4" s="61" t="s">
        <v>98</v>
      </c>
    </row>
    <row r="5" spans="1:19" ht="15" customHeight="1" x14ac:dyDescent="0.25">
      <c r="A5" s="25" t="str">
        <f>IFERROR(MATCH(1,INDEX(('Registro Incidencias'!AX$5:AX$200="Juan Luis"&amp;TEXT('📅 Semana'!B$7,"YYYYMMDD"))*('Registro Incidencias'!AY$5:AY$200=1),),0),"")</f>
        <v/>
      </c>
      <c r="B5" s="62" t="str">
        <f>IF(A5="","",INDEX('Registro Incidencias'!U$5:U$200,A5))</f>
        <v/>
      </c>
      <c r="C5" s="22" t="str">
        <f>IF(A5="","",INDEX('Registro Incidencias'!L$5:L$200,A5))</f>
        <v/>
      </c>
      <c r="D5" s="22" t="str">
        <f>IF(A5="","",INDEX('Registro Incidencias'!A$5:A$200,A5))</f>
        <v/>
      </c>
      <c r="E5" s="22" t="str">
        <f>IF(A5="","",INDEX('Registro Incidencias'!D$5:D$200,A5))</f>
        <v/>
      </c>
      <c r="F5" s="25" t="str">
        <f>IF(A5="","",INDEX('Registro Incidencias'!F$5:F$200,A5))</f>
        <v/>
      </c>
      <c r="G5" s="25" t="str">
        <f>IF(A5="","",INDEX('Registro Incidencias'!G$5:G$200,A5))</f>
        <v/>
      </c>
      <c r="H5" s="25" t="str">
        <f>IF(A5="","",INDEX('Registro Incidencias'!H$5:H$200,A5))</f>
        <v/>
      </c>
      <c r="I5" s="25" t="str">
        <f>IF(A5="","",INDEX('Registro Incidencias'!O$5:O$200,A5))</f>
        <v/>
      </c>
      <c r="J5" s="25" t="str">
        <f>IF(A5="","",INDEX('Registro Incidencias'!R$5:R$200,A5))</f>
        <v/>
      </c>
      <c r="K5" s="25" t="str">
        <f>IF(A5="","",INDEX('Registro Incidencias'!AF$5:AF$200,A5))</f>
        <v/>
      </c>
      <c r="L5" s="28" t="str">
        <f>IF(A5="","",INDEX('Registro Incidencias'!AI$5:AI$200,A5))</f>
        <v/>
      </c>
      <c r="M5" s="22" t="str">
        <f>IF(A5="","",INDEX('Registro Incidencias'!AD$5:AD$200,A5))</f>
        <v/>
      </c>
      <c r="N5" s="25" t="str">
        <f>IF(A5="","",INDEX('Registro Incidencias'!AE$5:AE$200,A5))</f>
        <v/>
      </c>
      <c r="O5" s="22" t="str">
        <f>IF(A5="","",INDEX('Registro Incidencias'!AK$5:AK$200,A5))</f>
        <v/>
      </c>
      <c r="P5" s="63" t="str">
        <f>IF(A5="","",INDEX('Registro Incidencias'!AU$5:AU$200,A5))</f>
        <v/>
      </c>
      <c r="Q5" s="32" t="str">
        <f>IF(A5="","",INDEX('Registro Incidencias'!AV$5:AV$200,A5))</f>
        <v/>
      </c>
      <c r="R5" s="32"/>
      <c r="S5" s="32"/>
    </row>
    <row r="6" spans="1:19" ht="15" customHeight="1" x14ac:dyDescent="0.25">
      <c r="A6" s="36" t="str">
        <f>IFERROR(MATCH(1,INDEX(('Registro Incidencias'!AX$5:AX$200="Juan Luis"&amp;TEXT('📅 Semana'!B$7,"YYYYMMDD"))*('Registro Incidencias'!AY$5:AY$200=2),),0),"")</f>
        <v/>
      </c>
      <c r="B6" s="64" t="str">
        <f>IF(A6="","",INDEX('Registro Incidencias'!U$5:U$200,A6))</f>
        <v/>
      </c>
      <c r="C6" s="33" t="str">
        <f>IF(A6="","",INDEX('Registro Incidencias'!L$5:L$200,A6))</f>
        <v/>
      </c>
      <c r="D6" s="33" t="str">
        <f>IF(A6="","",INDEX('Registro Incidencias'!A$5:A$200,A6))</f>
        <v/>
      </c>
      <c r="E6" s="33" t="str">
        <f>IF(A6="","",INDEX('Registro Incidencias'!D$5:D$200,A6))</f>
        <v/>
      </c>
      <c r="F6" s="36" t="str">
        <f>IF(A6="","",INDEX('Registro Incidencias'!F$5:F$200,A6))</f>
        <v/>
      </c>
      <c r="G6" s="36" t="str">
        <f>IF(A6="","",INDEX('Registro Incidencias'!G$5:G$200,A6))</f>
        <v/>
      </c>
      <c r="H6" s="36" t="str">
        <f>IF(A6="","",INDEX('Registro Incidencias'!H$5:H$200,A6))</f>
        <v/>
      </c>
      <c r="I6" s="36" t="str">
        <f>IF(A6="","",INDEX('Registro Incidencias'!O$5:O$200,A6))</f>
        <v/>
      </c>
      <c r="J6" s="36" t="str">
        <f>IF(A6="","",INDEX('Registro Incidencias'!R$5:R$200,A6))</f>
        <v/>
      </c>
      <c r="K6" s="36" t="str">
        <f>IF(A6="","",INDEX('Registro Incidencias'!AF$5:AF$200,A6))</f>
        <v/>
      </c>
      <c r="L6" s="39" t="str">
        <f>IF(A6="","",INDEX('Registro Incidencias'!AI$5:AI$200,A6))</f>
        <v/>
      </c>
      <c r="M6" s="33" t="str">
        <f>IF(A6="","",INDEX('Registro Incidencias'!AD$5:AD$200,A6))</f>
        <v/>
      </c>
      <c r="N6" s="36" t="str">
        <f>IF(A6="","",INDEX('Registro Incidencias'!AE$5:AE$200,A6))</f>
        <v/>
      </c>
      <c r="O6" s="33" t="str">
        <f>IF(A6="","",INDEX('Registro Incidencias'!AK$5:AK$200,A6))</f>
        <v/>
      </c>
      <c r="P6" s="63" t="str">
        <f>IF(A6="","",INDEX('Registro Incidencias'!AU$5:AU$200,A6))</f>
        <v/>
      </c>
      <c r="Q6" s="32" t="str">
        <f>IF(A6="","",INDEX('Registro Incidencias'!AV$5:AV$200,A6))</f>
        <v/>
      </c>
      <c r="R6" s="32"/>
      <c r="S6" s="32"/>
    </row>
    <row r="7" spans="1:19" ht="15" customHeight="1" x14ac:dyDescent="0.25">
      <c r="A7" s="25" t="str">
        <f>IFERROR(MATCH(1,INDEX(('Registro Incidencias'!AX$5:AX$200="Juan Luis"&amp;TEXT('📅 Semana'!B$7,"YYYYMMDD"))*('Registro Incidencias'!AY$5:AY$200=3),),0),"")</f>
        <v/>
      </c>
      <c r="B7" s="62" t="str">
        <f>IF(A7="","",INDEX('Registro Incidencias'!U$5:U$200,A7))</f>
        <v/>
      </c>
      <c r="C7" s="22" t="str">
        <f>IF(A7="","",INDEX('Registro Incidencias'!L$5:L$200,A7))</f>
        <v/>
      </c>
      <c r="D7" s="22" t="str">
        <f>IF(A7="","",INDEX('Registro Incidencias'!A$5:A$200,A7))</f>
        <v/>
      </c>
      <c r="E7" s="22" t="str">
        <f>IF(A7="","",INDEX('Registro Incidencias'!D$5:D$200,A7))</f>
        <v/>
      </c>
      <c r="F7" s="25" t="str">
        <f>IF(A7="","",INDEX('Registro Incidencias'!F$5:F$200,A7))</f>
        <v/>
      </c>
      <c r="G7" s="25" t="str">
        <f>IF(A7="","",INDEX('Registro Incidencias'!G$5:G$200,A7))</f>
        <v/>
      </c>
      <c r="H7" s="25" t="str">
        <f>IF(A7="","",INDEX('Registro Incidencias'!H$5:H$200,A7))</f>
        <v/>
      </c>
      <c r="I7" s="25" t="str">
        <f>IF(A7="","",INDEX('Registro Incidencias'!O$5:O$200,A7))</f>
        <v/>
      </c>
      <c r="J7" s="25" t="str">
        <f>IF(A7="","",INDEX('Registro Incidencias'!R$5:R$200,A7))</f>
        <v/>
      </c>
      <c r="K7" s="25" t="str">
        <f>IF(A7="","",INDEX('Registro Incidencias'!AF$5:AF$200,A7))</f>
        <v/>
      </c>
      <c r="L7" s="28" t="str">
        <f>IF(A7="","",INDEX('Registro Incidencias'!AI$5:AI$200,A7))</f>
        <v/>
      </c>
      <c r="M7" s="22" t="str">
        <f>IF(A7="","",INDEX('Registro Incidencias'!AD$5:AD$200,A7))</f>
        <v/>
      </c>
      <c r="N7" s="25" t="str">
        <f>IF(A7="","",INDEX('Registro Incidencias'!AE$5:AE$200,A7))</f>
        <v/>
      </c>
      <c r="O7" s="22" t="str">
        <f>IF(A7="","",INDEX('Registro Incidencias'!AK$5:AK$200,A7))</f>
        <v/>
      </c>
      <c r="P7" s="63" t="str">
        <f>IF(A7="","",INDEX('Registro Incidencias'!AU$5:AU$200,A7))</f>
        <v/>
      </c>
      <c r="Q7" s="32" t="str">
        <f>IF(A7="","",INDEX('Registro Incidencias'!AV$5:AV$200,A7))</f>
        <v/>
      </c>
      <c r="R7" s="32"/>
      <c r="S7" s="32"/>
    </row>
    <row r="8" spans="1:19" ht="15" customHeight="1" x14ac:dyDescent="0.25">
      <c r="A8" s="36" t="str">
        <f>IFERROR(MATCH(1,INDEX(('Registro Incidencias'!AX$5:AX$200="Juan Luis"&amp;TEXT('📅 Semana'!B$7,"YYYYMMDD"))*('Registro Incidencias'!AY$5:AY$200=4),),0),"")</f>
        <v/>
      </c>
      <c r="B8" s="64" t="str">
        <f>IF(A8="","",INDEX('Registro Incidencias'!U$5:U$200,A8))</f>
        <v/>
      </c>
      <c r="C8" s="33" t="str">
        <f>IF(A8="","",INDEX('Registro Incidencias'!L$5:L$200,A8))</f>
        <v/>
      </c>
      <c r="D8" s="33" t="str">
        <f>IF(A8="","",INDEX('Registro Incidencias'!A$5:A$200,A8))</f>
        <v/>
      </c>
      <c r="E8" s="33" t="str">
        <f>IF(A8="","",INDEX('Registro Incidencias'!D$5:D$200,A8))</f>
        <v/>
      </c>
      <c r="F8" s="36" t="str">
        <f>IF(A8="","",INDEX('Registro Incidencias'!F$5:F$200,A8))</f>
        <v/>
      </c>
      <c r="G8" s="36" t="str">
        <f>IF(A8="","",INDEX('Registro Incidencias'!G$5:G$200,A8))</f>
        <v/>
      </c>
      <c r="H8" s="36" t="str">
        <f>IF(A8="","",INDEX('Registro Incidencias'!H$5:H$200,A8))</f>
        <v/>
      </c>
      <c r="I8" s="36" t="str">
        <f>IF(A8="","",INDEX('Registro Incidencias'!O$5:O$200,A8))</f>
        <v/>
      </c>
      <c r="J8" s="36" t="str">
        <f>IF(A8="","",INDEX('Registro Incidencias'!R$5:R$200,A8))</f>
        <v/>
      </c>
      <c r="K8" s="36" t="str">
        <f>IF(A8="","",INDEX('Registro Incidencias'!AF$5:AF$200,A8))</f>
        <v/>
      </c>
      <c r="L8" s="39" t="str">
        <f>IF(A8="","",INDEX('Registro Incidencias'!AI$5:AI$200,A8))</f>
        <v/>
      </c>
      <c r="M8" s="33" t="str">
        <f>IF(A8="","",INDEX('Registro Incidencias'!AD$5:AD$200,A8))</f>
        <v/>
      </c>
      <c r="N8" s="36" t="str">
        <f>IF(A8="","",INDEX('Registro Incidencias'!AE$5:AE$200,A8))</f>
        <v/>
      </c>
      <c r="O8" s="33" t="str">
        <f>IF(A8="","",INDEX('Registro Incidencias'!AK$5:AK$200,A8))</f>
        <v/>
      </c>
      <c r="P8" s="63" t="str">
        <f>IF(A8="","",INDEX('Registro Incidencias'!AU$5:AU$200,A8))</f>
        <v/>
      </c>
      <c r="Q8" s="32" t="str">
        <f>IF(A8="","",INDEX('Registro Incidencias'!AV$5:AV$200,A8))</f>
        <v/>
      </c>
      <c r="R8" s="32"/>
      <c r="S8" s="32"/>
    </row>
    <row r="9" spans="1:19" ht="15" customHeight="1" x14ac:dyDescent="0.25">
      <c r="A9" s="25" t="str">
        <f>IFERROR(MATCH(1,INDEX(('Registro Incidencias'!AX$5:AX$200="Juan Luis"&amp;TEXT('📅 Semana'!B$7,"YYYYMMDD"))*('Registro Incidencias'!AY$5:AY$200=5),),0),"")</f>
        <v/>
      </c>
      <c r="B9" s="62" t="str">
        <f>IF(A9="","",INDEX('Registro Incidencias'!U$5:U$200,A9))</f>
        <v/>
      </c>
      <c r="C9" s="22" t="str">
        <f>IF(A9="","",INDEX('Registro Incidencias'!L$5:L$200,A9))</f>
        <v/>
      </c>
      <c r="D9" s="22" t="str">
        <f>IF(A9="","",INDEX('Registro Incidencias'!A$5:A$200,A9))</f>
        <v/>
      </c>
      <c r="E9" s="22" t="str">
        <f>IF(A9="","",INDEX('Registro Incidencias'!D$5:D$200,A9))</f>
        <v/>
      </c>
      <c r="F9" s="25" t="str">
        <f>IF(A9="","",INDEX('Registro Incidencias'!F$5:F$200,A9))</f>
        <v/>
      </c>
      <c r="G9" s="25" t="str">
        <f>IF(A9="","",INDEX('Registro Incidencias'!G$5:G$200,A9))</f>
        <v/>
      </c>
      <c r="H9" s="25" t="str">
        <f>IF(A9="","",INDEX('Registro Incidencias'!H$5:H$200,A9))</f>
        <v/>
      </c>
      <c r="I9" s="25" t="str">
        <f>IF(A9="","",INDEX('Registro Incidencias'!O$5:O$200,A9))</f>
        <v/>
      </c>
      <c r="J9" s="25" t="str">
        <f>IF(A9="","",INDEX('Registro Incidencias'!R$5:R$200,A9))</f>
        <v/>
      </c>
      <c r="K9" s="25" t="str">
        <f>IF(A9="","",INDEX('Registro Incidencias'!AF$5:AF$200,A9))</f>
        <v/>
      </c>
      <c r="L9" s="28" t="str">
        <f>IF(A9="","",INDEX('Registro Incidencias'!AI$5:AI$200,A9))</f>
        <v/>
      </c>
      <c r="M9" s="22" t="str">
        <f>IF(A9="","",INDEX('Registro Incidencias'!AD$5:AD$200,A9))</f>
        <v/>
      </c>
      <c r="N9" s="25" t="str">
        <f>IF(A9="","",INDEX('Registro Incidencias'!AE$5:AE$200,A9))</f>
        <v/>
      </c>
      <c r="O9" s="22" t="str">
        <f>IF(A9="","",INDEX('Registro Incidencias'!AK$5:AK$200,A9))</f>
        <v/>
      </c>
      <c r="P9" s="63" t="str">
        <f>IF(A9="","",INDEX('Registro Incidencias'!AU$5:AU$200,A9))</f>
        <v/>
      </c>
      <c r="Q9" s="32" t="str">
        <f>IF(A9="","",INDEX('Registro Incidencias'!AV$5:AV$200,A9))</f>
        <v/>
      </c>
      <c r="R9" s="32"/>
      <c r="S9" s="32"/>
    </row>
    <row r="10" spans="1:19" ht="15" customHeight="1" x14ac:dyDescent="0.25">
      <c r="A10" s="36" t="str">
        <f>IFERROR(MATCH(1,INDEX(('Registro Incidencias'!AX$5:AX$200="Juan Luis"&amp;TEXT('📅 Semana'!B$7,"YYYYMMDD"))*('Registro Incidencias'!AY$5:AY$200=6),),0),"")</f>
        <v/>
      </c>
      <c r="B10" s="64" t="str">
        <f>IF(A10="","",INDEX('Registro Incidencias'!U$5:U$200,A10))</f>
        <v/>
      </c>
      <c r="C10" s="33" t="str">
        <f>IF(A10="","",INDEX('Registro Incidencias'!L$5:L$200,A10))</f>
        <v/>
      </c>
      <c r="D10" s="33" t="str">
        <f>IF(A10="","",INDEX('Registro Incidencias'!A$5:A$200,A10))</f>
        <v/>
      </c>
      <c r="E10" s="33" t="str">
        <f>IF(A10="","",INDEX('Registro Incidencias'!D$5:D$200,A10))</f>
        <v/>
      </c>
      <c r="F10" s="36" t="str">
        <f>IF(A10="","",INDEX('Registro Incidencias'!F$5:F$200,A10))</f>
        <v/>
      </c>
      <c r="G10" s="36" t="str">
        <f>IF(A10="","",INDEX('Registro Incidencias'!G$5:G$200,A10))</f>
        <v/>
      </c>
      <c r="H10" s="36" t="str">
        <f>IF(A10="","",INDEX('Registro Incidencias'!H$5:H$200,A10))</f>
        <v/>
      </c>
      <c r="I10" s="36" t="str">
        <f>IF(A10="","",INDEX('Registro Incidencias'!O$5:O$200,A10))</f>
        <v/>
      </c>
      <c r="J10" s="36" t="str">
        <f>IF(A10="","",INDEX('Registro Incidencias'!R$5:R$200,A10))</f>
        <v/>
      </c>
      <c r="K10" s="36" t="str">
        <f>IF(A10="","",INDEX('Registro Incidencias'!AF$5:AF$200,A10))</f>
        <v/>
      </c>
      <c r="L10" s="39" t="str">
        <f>IF(A10="","",INDEX('Registro Incidencias'!AI$5:AI$200,A10))</f>
        <v/>
      </c>
      <c r="M10" s="33" t="str">
        <f>IF(A10="","",INDEX('Registro Incidencias'!AD$5:AD$200,A10))</f>
        <v/>
      </c>
      <c r="N10" s="36" t="str">
        <f>IF(A10="","",INDEX('Registro Incidencias'!AE$5:AE$200,A10))</f>
        <v/>
      </c>
      <c r="O10" s="33" t="str">
        <f>IF(A10="","",INDEX('Registro Incidencias'!AK$5:AK$200,A10))</f>
        <v/>
      </c>
      <c r="P10" s="63" t="str">
        <f>IF(A10="","",INDEX('Registro Incidencias'!AU$5:AU$200,A10))</f>
        <v/>
      </c>
      <c r="Q10" s="32" t="str">
        <f>IF(A10="","",INDEX('Registro Incidencias'!AV$5:AV$200,A10))</f>
        <v/>
      </c>
      <c r="R10" s="32"/>
      <c r="S10" s="32"/>
    </row>
    <row r="11" spans="1:19" ht="21.75" customHeight="1" x14ac:dyDescent="0.25">
      <c r="A11" s="3" t="str">
        <f>COUNTIFS('Registro Incidencias'!S$5:S$200,"Juan Luis",'Registro Incidencias'!T$5:T$200,'📅 Semana'!B$7)&amp;" averías"</f>
        <v>0 averías</v>
      </c>
      <c r="B11" s="3"/>
      <c r="C11" s="3"/>
      <c r="D11" s="3"/>
      <c r="E11" s="3"/>
      <c r="F11" s="3"/>
      <c r="G11" s="3"/>
      <c r="H11" s="3"/>
      <c r="I11" s="3"/>
      <c r="J11" s="2" t="str">
        <f>"Verificadas: "&amp;COUNTIFS(A5:A10,"&lt;&gt;",P5:P10,"&lt;&gt;")&amp;"/"&amp;COUNTIF(A5:A10,"&lt;&gt;")</f>
        <v>Verificadas: 6/6</v>
      </c>
      <c r="K11" s="2"/>
      <c r="L11" s="2"/>
      <c r="M11" s="2"/>
      <c r="N11" s="2"/>
      <c r="O11" s="2"/>
      <c r="P11" s="2"/>
    </row>
    <row r="13" spans="1:19" ht="30" customHeight="1" x14ac:dyDescent="0.25">
      <c r="A13" s="1" t="str">
        <f>TEXT('📅 Semana'!B$8,"DDDD")&amp;"  —  "&amp;TEXT('📅 Semana'!B$8,"DD/MM/")&amp;"2026"</f>
        <v>martes  —  17/02/2026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0" customHeight="1" x14ac:dyDescent="0.25">
      <c r="A14" s="65" t="s">
        <v>85</v>
      </c>
      <c r="B14" s="65" t="s">
        <v>86</v>
      </c>
      <c r="C14" s="65" t="s">
        <v>18</v>
      </c>
      <c r="D14" s="65" t="s">
        <v>87</v>
      </c>
      <c r="E14" s="65" t="s">
        <v>88</v>
      </c>
      <c r="F14" s="65" t="s">
        <v>89</v>
      </c>
      <c r="G14" s="65" t="s">
        <v>13</v>
      </c>
      <c r="H14" s="65" t="s">
        <v>14</v>
      </c>
      <c r="I14" s="65" t="s">
        <v>90</v>
      </c>
      <c r="J14" s="65" t="s">
        <v>91</v>
      </c>
      <c r="K14" s="65" t="s">
        <v>92</v>
      </c>
      <c r="L14" s="65" t="s">
        <v>93</v>
      </c>
      <c r="M14" s="65" t="s">
        <v>94</v>
      </c>
      <c r="N14" s="65" t="s">
        <v>37</v>
      </c>
      <c r="O14" s="65" t="s">
        <v>43</v>
      </c>
      <c r="P14" s="61" t="s">
        <v>95</v>
      </c>
      <c r="Q14" s="61" t="s">
        <v>96</v>
      </c>
      <c r="R14" s="61" t="s">
        <v>97</v>
      </c>
      <c r="S14" s="61" t="s">
        <v>98</v>
      </c>
    </row>
    <row r="15" spans="1:19" ht="15" customHeight="1" x14ac:dyDescent="0.25">
      <c r="A15" s="25" t="str">
        <f>IFERROR(MATCH(1,INDEX(('Registro Incidencias'!AX$5:AX$200="Juan Luis"&amp;TEXT('📅 Semana'!B$8,"YYYYMMDD"))*('Registro Incidencias'!AY$5:AY$200=1),),0),"")</f>
        <v/>
      </c>
      <c r="B15" s="62" t="str">
        <f>IF(A15="","",INDEX('Registro Incidencias'!U$5:U$200,A15))</f>
        <v/>
      </c>
      <c r="C15" s="22" t="str">
        <f>IF(A15="","",INDEX('Registro Incidencias'!L$5:L$200,A15))</f>
        <v/>
      </c>
      <c r="D15" s="22" t="str">
        <f>IF(A15="","",INDEX('Registro Incidencias'!A$5:A$200,A15))</f>
        <v/>
      </c>
      <c r="E15" s="22" t="str">
        <f>IF(A15="","",INDEX('Registro Incidencias'!D$5:D$200,A15))</f>
        <v/>
      </c>
      <c r="F15" s="25" t="str">
        <f>IF(A15="","",INDEX('Registro Incidencias'!F$5:F$200,A15))</f>
        <v/>
      </c>
      <c r="G15" s="25" t="str">
        <f>IF(A15="","",INDEX('Registro Incidencias'!G$5:G$200,A15))</f>
        <v/>
      </c>
      <c r="H15" s="25" t="str">
        <f>IF(A15="","",INDEX('Registro Incidencias'!H$5:H$200,A15))</f>
        <v/>
      </c>
      <c r="I15" s="25" t="str">
        <f>IF(A15="","",INDEX('Registro Incidencias'!O$5:O$200,A15))</f>
        <v/>
      </c>
      <c r="J15" s="25" t="str">
        <f>IF(A15="","",INDEX('Registro Incidencias'!R$5:R$200,A15))</f>
        <v/>
      </c>
      <c r="K15" s="25" t="str">
        <f>IF(A15="","",INDEX('Registro Incidencias'!AF$5:AF$200,A15))</f>
        <v/>
      </c>
      <c r="L15" s="28" t="str">
        <f>IF(A15="","",INDEX('Registro Incidencias'!AI$5:AI$200,A15))</f>
        <v/>
      </c>
      <c r="M15" s="22" t="str">
        <f>IF(A15="","",INDEX('Registro Incidencias'!AD$5:AD$200,A15))</f>
        <v/>
      </c>
      <c r="N15" s="25" t="str">
        <f>IF(A15="","",INDEX('Registro Incidencias'!AE$5:AE$200,A15))</f>
        <v/>
      </c>
      <c r="O15" s="22" t="str">
        <f>IF(A15="","",INDEX('Registro Incidencias'!AK$5:AK$200,A15))</f>
        <v/>
      </c>
      <c r="P15" s="63" t="str">
        <f>IF(A15="","",INDEX('Registro Incidencias'!AU$5:AU$200,A15))</f>
        <v/>
      </c>
      <c r="Q15" s="32" t="str">
        <f>IF(A15="","",INDEX('Registro Incidencias'!AV$5:AV$200,A15))</f>
        <v/>
      </c>
      <c r="R15" s="32"/>
      <c r="S15" s="32"/>
    </row>
    <row r="16" spans="1:19" ht="15" customHeight="1" x14ac:dyDescent="0.25">
      <c r="A16" s="36" t="str">
        <f>IFERROR(MATCH(1,INDEX(('Registro Incidencias'!AX$5:AX$200="Juan Luis"&amp;TEXT('📅 Semana'!B$8,"YYYYMMDD"))*('Registro Incidencias'!AY$5:AY$200=2),),0),"")</f>
        <v/>
      </c>
      <c r="B16" s="64" t="str">
        <f>IF(A16="","",INDEX('Registro Incidencias'!U$5:U$200,A16))</f>
        <v/>
      </c>
      <c r="C16" s="33" t="str">
        <f>IF(A16="","",INDEX('Registro Incidencias'!L$5:L$200,A16))</f>
        <v/>
      </c>
      <c r="D16" s="33" t="str">
        <f>IF(A16="","",INDEX('Registro Incidencias'!A$5:A$200,A16))</f>
        <v/>
      </c>
      <c r="E16" s="33" t="str">
        <f>IF(A16="","",INDEX('Registro Incidencias'!D$5:D$200,A16))</f>
        <v/>
      </c>
      <c r="F16" s="36" t="str">
        <f>IF(A16="","",INDEX('Registro Incidencias'!F$5:F$200,A16))</f>
        <v/>
      </c>
      <c r="G16" s="36" t="str">
        <f>IF(A16="","",INDEX('Registro Incidencias'!G$5:G$200,A16))</f>
        <v/>
      </c>
      <c r="H16" s="36" t="str">
        <f>IF(A16="","",INDEX('Registro Incidencias'!H$5:H$200,A16))</f>
        <v/>
      </c>
      <c r="I16" s="36" t="str">
        <f>IF(A16="","",INDEX('Registro Incidencias'!O$5:O$200,A16))</f>
        <v/>
      </c>
      <c r="J16" s="36" t="str">
        <f>IF(A16="","",INDEX('Registro Incidencias'!R$5:R$200,A16))</f>
        <v/>
      </c>
      <c r="K16" s="36" t="str">
        <f>IF(A16="","",INDEX('Registro Incidencias'!AF$5:AF$200,A16))</f>
        <v/>
      </c>
      <c r="L16" s="39" t="str">
        <f>IF(A16="","",INDEX('Registro Incidencias'!AI$5:AI$200,A16))</f>
        <v/>
      </c>
      <c r="M16" s="33" t="str">
        <f>IF(A16="","",INDEX('Registro Incidencias'!AD$5:AD$200,A16))</f>
        <v/>
      </c>
      <c r="N16" s="36" t="str">
        <f>IF(A16="","",INDEX('Registro Incidencias'!AE$5:AE$200,A16))</f>
        <v/>
      </c>
      <c r="O16" s="33" t="str">
        <f>IF(A16="","",INDEX('Registro Incidencias'!AK$5:AK$200,A16))</f>
        <v/>
      </c>
      <c r="P16" s="63" t="str">
        <f>IF(A16="","",INDEX('Registro Incidencias'!AU$5:AU$200,A16))</f>
        <v/>
      </c>
      <c r="Q16" s="32" t="str">
        <f>IF(A16="","",INDEX('Registro Incidencias'!AV$5:AV$200,A16))</f>
        <v/>
      </c>
      <c r="R16" s="32"/>
      <c r="S16" s="32"/>
    </row>
    <row r="17" spans="1:19" ht="15" customHeight="1" x14ac:dyDescent="0.25">
      <c r="A17" s="25" t="str">
        <f>IFERROR(MATCH(1,INDEX(('Registro Incidencias'!AX$5:AX$200="Juan Luis"&amp;TEXT('📅 Semana'!B$8,"YYYYMMDD"))*('Registro Incidencias'!AY$5:AY$200=3),),0),"")</f>
        <v/>
      </c>
      <c r="B17" s="62" t="str">
        <f>IF(A17="","",INDEX('Registro Incidencias'!U$5:U$200,A17))</f>
        <v/>
      </c>
      <c r="C17" s="22" t="str">
        <f>IF(A17="","",INDEX('Registro Incidencias'!L$5:L$200,A17))</f>
        <v/>
      </c>
      <c r="D17" s="22" t="str">
        <f>IF(A17="","",INDEX('Registro Incidencias'!A$5:A$200,A17))</f>
        <v/>
      </c>
      <c r="E17" s="22" t="str">
        <f>IF(A17="","",INDEX('Registro Incidencias'!D$5:D$200,A17))</f>
        <v/>
      </c>
      <c r="F17" s="25" t="str">
        <f>IF(A17="","",INDEX('Registro Incidencias'!F$5:F$200,A17))</f>
        <v/>
      </c>
      <c r="G17" s="25" t="str">
        <f>IF(A17="","",INDEX('Registro Incidencias'!G$5:G$200,A17))</f>
        <v/>
      </c>
      <c r="H17" s="25" t="str">
        <f>IF(A17="","",INDEX('Registro Incidencias'!H$5:H$200,A17))</f>
        <v/>
      </c>
      <c r="I17" s="25" t="str">
        <f>IF(A17="","",INDEX('Registro Incidencias'!O$5:O$200,A17))</f>
        <v/>
      </c>
      <c r="J17" s="25" t="str">
        <f>IF(A17="","",INDEX('Registro Incidencias'!R$5:R$200,A17))</f>
        <v/>
      </c>
      <c r="K17" s="25" t="str">
        <f>IF(A17="","",INDEX('Registro Incidencias'!AF$5:AF$200,A17))</f>
        <v/>
      </c>
      <c r="L17" s="28" t="str">
        <f>IF(A17="","",INDEX('Registro Incidencias'!AI$5:AI$200,A17))</f>
        <v/>
      </c>
      <c r="M17" s="22" t="str">
        <f>IF(A17="","",INDEX('Registro Incidencias'!AD$5:AD$200,A17))</f>
        <v/>
      </c>
      <c r="N17" s="25" t="str">
        <f>IF(A17="","",INDEX('Registro Incidencias'!AE$5:AE$200,A17))</f>
        <v/>
      </c>
      <c r="O17" s="22" t="str">
        <f>IF(A17="","",INDEX('Registro Incidencias'!AK$5:AK$200,A17))</f>
        <v/>
      </c>
      <c r="P17" s="63" t="str">
        <f>IF(A17="","",INDEX('Registro Incidencias'!AU$5:AU$200,A17))</f>
        <v/>
      </c>
      <c r="Q17" s="32" t="str">
        <f>IF(A17="","",INDEX('Registro Incidencias'!AV$5:AV$200,A17))</f>
        <v/>
      </c>
      <c r="R17" s="32"/>
      <c r="S17" s="32"/>
    </row>
    <row r="18" spans="1:19" ht="15" customHeight="1" x14ac:dyDescent="0.25">
      <c r="A18" s="36" t="str">
        <f>IFERROR(MATCH(1,INDEX(('Registro Incidencias'!AX$5:AX$200="Juan Luis"&amp;TEXT('📅 Semana'!B$8,"YYYYMMDD"))*('Registro Incidencias'!AY$5:AY$200=4),),0),"")</f>
        <v/>
      </c>
      <c r="B18" s="64" t="str">
        <f>IF(A18="","",INDEX('Registro Incidencias'!U$5:U$200,A18))</f>
        <v/>
      </c>
      <c r="C18" s="33" t="str">
        <f>IF(A18="","",INDEX('Registro Incidencias'!L$5:L$200,A18))</f>
        <v/>
      </c>
      <c r="D18" s="33" t="str">
        <f>IF(A18="","",INDEX('Registro Incidencias'!A$5:A$200,A18))</f>
        <v/>
      </c>
      <c r="E18" s="33" t="str">
        <f>IF(A18="","",INDEX('Registro Incidencias'!D$5:D$200,A18))</f>
        <v/>
      </c>
      <c r="F18" s="36" t="str">
        <f>IF(A18="","",INDEX('Registro Incidencias'!F$5:F$200,A18))</f>
        <v/>
      </c>
      <c r="G18" s="36" t="str">
        <f>IF(A18="","",INDEX('Registro Incidencias'!G$5:G$200,A18))</f>
        <v/>
      </c>
      <c r="H18" s="36" t="str">
        <f>IF(A18="","",INDEX('Registro Incidencias'!H$5:H$200,A18))</f>
        <v/>
      </c>
      <c r="I18" s="36" t="str">
        <f>IF(A18="","",INDEX('Registro Incidencias'!O$5:O$200,A18))</f>
        <v/>
      </c>
      <c r="J18" s="36" t="str">
        <f>IF(A18="","",INDEX('Registro Incidencias'!R$5:R$200,A18))</f>
        <v/>
      </c>
      <c r="K18" s="36" t="str">
        <f>IF(A18="","",INDEX('Registro Incidencias'!AF$5:AF$200,A18))</f>
        <v/>
      </c>
      <c r="L18" s="39" t="str">
        <f>IF(A18="","",INDEX('Registro Incidencias'!AI$5:AI$200,A18))</f>
        <v/>
      </c>
      <c r="M18" s="33" t="str">
        <f>IF(A18="","",INDEX('Registro Incidencias'!AD$5:AD$200,A18))</f>
        <v/>
      </c>
      <c r="N18" s="36" t="str">
        <f>IF(A18="","",INDEX('Registro Incidencias'!AE$5:AE$200,A18))</f>
        <v/>
      </c>
      <c r="O18" s="33" t="str">
        <f>IF(A18="","",INDEX('Registro Incidencias'!AK$5:AK$200,A18))</f>
        <v/>
      </c>
      <c r="P18" s="63" t="str">
        <f>IF(A18="","",INDEX('Registro Incidencias'!AU$5:AU$200,A18))</f>
        <v/>
      </c>
      <c r="Q18" s="32" t="str">
        <f>IF(A18="","",INDEX('Registro Incidencias'!AV$5:AV$200,A18))</f>
        <v/>
      </c>
      <c r="R18" s="32"/>
      <c r="S18" s="32"/>
    </row>
    <row r="19" spans="1:19" ht="15" customHeight="1" x14ac:dyDescent="0.25">
      <c r="A19" s="25" t="str">
        <f>IFERROR(MATCH(1,INDEX(('Registro Incidencias'!AX$5:AX$200="Juan Luis"&amp;TEXT('📅 Semana'!B$8,"YYYYMMDD"))*('Registro Incidencias'!AY$5:AY$200=5),),0),"")</f>
        <v/>
      </c>
      <c r="B19" s="62" t="str">
        <f>IF(A19="","",INDEX('Registro Incidencias'!U$5:U$200,A19))</f>
        <v/>
      </c>
      <c r="C19" s="22" t="str">
        <f>IF(A19="","",INDEX('Registro Incidencias'!L$5:L$200,A19))</f>
        <v/>
      </c>
      <c r="D19" s="22" t="str">
        <f>IF(A19="","",INDEX('Registro Incidencias'!A$5:A$200,A19))</f>
        <v/>
      </c>
      <c r="E19" s="22" t="str">
        <f>IF(A19="","",INDEX('Registro Incidencias'!D$5:D$200,A19))</f>
        <v/>
      </c>
      <c r="F19" s="25" t="str">
        <f>IF(A19="","",INDEX('Registro Incidencias'!F$5:F$200,A19))</f>
        <v/>
      </c>
      <c r="G19" s="25" t="str">
        <f>IF(A19="","",INDEX('Registro Incidencias'!G$5:G$200,A19))</f>
        <v/>
      </c>
      <c r="H19" s="25" t="str">
        <f>IF(A19="","",INDEX('Registro Incidencias'!H$5:H$200,A19))</f>
        <v/>
      </c>
      <c r="I19" s="25" t="str">
        <f>IF(A19="","",INDEX('Registro Incidencias'!O$5:O$200,A19))</f>
        <v/>
      </c>
      <c r="J19" s="25" t="str">
        <f>IF(A19="","",INDEX('Registro Incidencias'!R$5:R$200,A19))</f>
        <v/>
      </c>
      <c r="K19" s="25" t="str">
        <f>IF(A19="","",INDEX('Registro Incidencias'!AF$5:AF$200,A19))</f>
        <v/>
      </c>
      <c r="L19" s="28" t="str">
        <f>IF(A19="","",INDEX('Registro Incidencias'!AI$5:AI$200,A19))</f>
        <v/>
      </c>
      <c r="M19" s="22" t="str">
        <f>IF(A19="","",INDEX('Registro Incidencias'!AD$5:AD$200,A19))</f>
        <v/>
      </c>
      <c r="N19" s="25" t="str">
        <f>IF(A19="","",INDEX('Registro Incidencias'!AE$5:AE$200,A19))</f>
        <v/>
      </c>
      <c r="O19" s="22" t="str">
        <f>IF(A19="","",INDEX('Registro Incidencias'!AK$5:AK$200,A19))</f>
        <v/>
      </c>
      <c r="P19" s="63" t="str">
        <f>IF(A19="","",INDEX('Registro Incidencias'!AU$5:AU$200,A19))</f>
        <v/>
      </c>
      <c r="Q19" s="32" t="str">
        <f>IF(A19="","",INDEX('Registro Incidencias'!AV$5:AV$200,A19))</f>
        <v/>
      </c>
      <c r="R19" s="32"/>
      <c r="S19" s="32"/>
    </row>
    <row r="20" spans="1:19" ht="15" customHeight="1" x14ac:dyDescent="0.25">
      <c r="A20" s="36" t="str">
        <f>IFERROR(MATCH(1,INDEX(('Registro Incidencias'!AX$5:AX$200="Juan Luis"&amp;TEXT('📅 Semana'!B$8,"YYYYMMDD"))*('Registro Incidencias'!AY$5:AY$200=6),),0),"")</f>
        <v/>
      </c>
      <c r="B20" s="64" t="str">
        <f>IF(A20="","",INDEX('Registro Incidencias'!U$5:U$200,A20))</f>
        <v/>
      </c>
      <c r="C20" s="33" t="str">
        <f>IF(A20="","",INDEX('Registro Incidencias'!L$5:L$200,A20))</f>
        <v/>
      </c>
      <c r="D20" s="33" t="str">
        <f>IF(A20="","",INDEX('Registro Incidencias'!A$5:A$200,A20))</f>
        <v/>
      </c>
      <c r="E20" s="33" t="str">
        <f>IF(A20="","",INDEX('Registro Incidencias'!D$5:D$200,A20))</f>
        <v/>
      </c>
      <c r="F20" s="36" t="str">
        <f>IF(A20="","",INDEX('Registro Incidencias'!F$5:F$200,A20))</f>
        <v/>
      </c>
      <c r="G20" s="36" t="str">
        <f>IF(A20="","",INDEX('Registro Incidencias'!G$5:G$200,A20))</f>
        <v/>
      </c>
      <c r="H20" s="36" t="str">
        <f>IF(A20="","",INDEX('Registro Incidencias'!H$5:H$200,A20))</f>
        <v/>
      </c>
      <c r="I20" s="36" t="str">
        <f>IF(A20="","",INDEX('Registro Incidencias'!O$5:O$200,A20))</f>
        <v/>
      </c>
      <c r="J20" s="36" t="str">
        <f>IF(A20="","",INDEX('Registro Incidencias'!R$5:R$200,A20))</f>
        <v/>
      </c>
      <c r="K20" s="36" t="str">
        <f>IF(A20="","",INDEX('Registro Incidencias'!AF$5:AF$200,A20))</f>
        <v/>
      </c>
      <c r="L20" s="39" t="str">
        <f>IF(A20="","",INDEX('Registro Incidencias'!AI$5:AI$200,A20))</f>
        <v/>
      </c>
      <c r="M20" s="33" t="str">
        <f>IF(A20="","",INDEX('Registro Incidencias'!AD$5:AD$200,A20))</f>
        <v/>
      </c>
      <c r="N20" s="36" t="str">
        <f>IF(A20="","",INDEX('Registro Incidencias'!AE$5:AE$200,A20))</f>
        <v/>
      </c>
      <c r="O20" s="33" t="str">
        <f>IF(A20="","",INDEX('Registro Incidencias'!AK$5:AK$200,A20))</f>
        <v/>
      </c>
      <c r="P20" s="63" t="str">
        <f>IF(A20="","",INDEX('Registro Incidencias'!AU$5:AU$200,A20))</f>
        <v/>
      </c>
      <c r="Q20" s="32" t="str">
        <f>IF(A20="","",INDEX('Registro Incidencias'!AV$5:AV$200,A20))</f>
        <v/>
      </c>
      <c r="R20" s="32"/>
      <c r="S20" s="32"/>
    </row>
    <row r="21" spans="1:19" ht="21.75" customHeight="1" x14ac:dyDescent="0.25">
      <c r="A21" s="123" t="str">
        <f>COUNTIFS('Registro Incidencias'!S$5:S$200,"Juan Luis",'Registro Incidencias'!T$5:T$200,'📅 Semana'!B$8)&amp;" averías"</f>
        <v>0 averías</v>
      </c>
      <c r="B21" s="123"/>
      <c r="C21" s="123"/>
      <c r="D21" s="123"/>
      <c r="E21" s="123"/>
      <c r="F21" s="123"/>
      <c r="G21" s="123"/>
      <c r="H21" s="123"/>
      <c r="I21" s="123"/>
      <c r="J21" s="2" t="str">
        <f>"Verificadas: "&amp;COUNTIFS(A15:A20,"&lt;&gt;",P15:P20,"&lt;&gt;")&amp;"/"&amp;COUNTIF(A15:A20,"&lt;&gt;")</f>
        <v>Verificadas: 6/6</v>
      </c>
      <c r="K21" s="2"/>
      <c r="L21" s="2"/>
      <c r="M21" s="2"/>
      <c r="N21" s="2"/>
      <c r="O21" s="2"/>
      <c r="P21" s="2"/>
    </row>
    <row r="23" spans="1:19" ht="30" customHeight="1" x14ac:dyDescent="0.25">
      <c r="A23" s="124" t="str">
        <f>TEXT('📅 Semana'!B$9,"DDDD")&amp;"  —  "&amp;TEXT('📅 Semana'!B$9,"DD/MM/")&amp;"2026"</f>
        <v>miércoles  —  18/02/2026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</row>
    <row r="24" spans="1:19" ht="30" customHeight="1" x14ac:dyDescent="0.25">
      <c r="A24" s="66" t="s">
        <v>85</v>
      </c>
      <c r="B24" s="66" t="s">
        <v>86</v>
      </c>
      <c r="C24" s="66" t="s">
        <v>18</v>
      </c>
      <c r="D24" s="66" t="s">
        <v>87</v>
      </c>
      <c r="E24" s="66" t="s">
        <v>88</v>
      </c>
      <c r="F24" s="66" t="s">
        <v>89</v>
      </c>
      <c r="G24" s="66" t="s">
        <v>13</v>
      </c>
      <c r="H24" s="66" t="s">
        <v>14</v>
      </c>
      <c r="I24" s="66" t="s">
        <v>90</v>
      </c>
      <c r="J24" s="66" t="s">
        <v>91</v>
      </c>
      <c r="K24" s="66" t="s">
        <v>92</v>
      </c>
      <c r="L24" s="66" t="s">
        <v>93</v>
      </c>
      <c r="M24" s="66" t="s">
        <v>94</v>
      </c>
      <c r="N24" s="66" t="s">
        <v>37</v>
      </c>
      <c r="O24" s="66" t="s">
        <v>43</v>
      </c>
      <c r="P24" s="61" t="s">
        <v>95</v>
      </c>
      <c r="Q24" s="61" t="s">
        <v>96</v>
      </c>
      <c r="R24" s="61" t="s">
        <v>97</v>
      </c>
      <c r="S24" s="61" t="s">
        <v>98</v>
      </c>
    </row>
    <row r="25" spans="1:19" ht="15" customHeight="1" x14ac:dyDescent="0.25">
      <c r="A25" s="25" t="str">
        <f>IFERROR(MATCH(1,INDEX(('Registro Incidencias'!AX$5:AX$200="Juan Luis"&amp;TEXT('📅 Semana'!B$9,"YYYYMMDD"))*('Registro Incidencias'!AY$5:AY$200=1),),0),"")</f>
        <v/>
      </c>
      <c r="B25" s="62" t="str">
        <f>IF(A25="","",INDEX('Registro Incidencias'!U$5:U$200,A25))</f>
        <v/>
      </c>
      <c r="C25" s="22" t="str">
        <f>IF(A25="","",INDEX('Registro Incidencias'!L$5:L$200,A25))</f>
        <v/>
      </c>
      <c r="D25" s="22" t="str">
        <f>IF(A25="","",INDEX('Registro Incidencias'!A$5:A$200,A25))</f>
        <v/>
      </c>
      <c r="E25" s="22" t="str">
        <f>IF(A25="","",INDEX('Registro Incidencias'!D$5:D$200,A25))</f>
        <v/>
      </c>
      <c r="F25" s="25" t="str">
        <f>IF(A25="","",INDEX('Registro Incidencias'!F$5:F$200,A25))</f>
        <v/>
      </c>
      <c r="G25" s="25" t="str">
        <f>IF(A25="","",INDEX('Registro Incidencias'!G$5:G$200,A25))</f>
        <v/>
      </c>
      <c r="H25" s="25" t="str">
        <f>IF(A25="","",INDEX('Registro Incidencias'!H$5:H$200,A25))</f>
        <v/>
      </c>
      <c r="I25" s="25" t="str">
        <f>IF(A25="","",INDEX('Registro Incidencias'!O$5:O$200,A25))</f>
        <v/>
      </c>
      <c r="J25" s="25" t="str">
        <f>IF(A25="","",INDEX('Registro Incidencias'!R$5:R$200,A25))</f>
        <v/>
      </c>
      <c r="K25" s="25" t="str">
        <f>IF(A25="","",INDEX('Registro Incidencias'!AF$5:AF$200,A25))</f>
        <v/>
      </c>
      <c r="L25" s="28" t="str">
        <f>IF(A25="","",INDEX('Registro Incidencias'!AI$5:AI$200,A25))</f>
        <v/>
      </c>
      <c r="M25" s="22" t="str">
        <f>IF(A25="","",INDEX('Registro Incidencias'!AD$5:AD$200,A25))</f>
        <v/>
      </c>
      <c r="N25" s="25" t="str">
        <f>IF(A25="","",INDEX('Registro Incidencias'!AE$5:AE$200,A25))</f>
        <v/>
      </c>
      <c r="O25" s="22" t="str">
        <f>IF(A25="","",INDEX('Registro Incidencias'!AK$5:AK$200,A25))</f>
        <v/>
      </c>
      <c r="P25" s="63" t="str">
        <f>IF(A25="","",INDEX('Registro Incidencias'!AU$5:AU$200,A25))</f>
        <v/>
      </c>
      <c r="Q25" s="32" t="str">
        <f>IF(A25="","",INDEX('Registro Incidencias'!AV$5:AV$200,A25))</f>
        <v/>
      </c>
      <c r="R25" s="32"/>
      <c r="S25" s="32"/>
    </row>
    <row r="26" spans="1:19" ht="15" customHeight="1" x14ac:dyDescent="0.25">
      <c r="A26" s="36" t="str">
        <f>IFERROR(MATCH(1,INDEX(('Registro Incidencias'!AX$5:AX$200="Juan Luis"&amp;TEXT('📅 Semana'!B$9,"YYYYMMDD"))*('Registro Incidencias'!AY$5:AY$200=2),),0),"")</f>
        <v/>
      </c>
      <c r="B26" s="64" t="str">
        <f>IF(A26="","",INDEX('Registro Incidencias'!U$5:U$200,A26))</f>
        <v/>
      </c>
      <c r="C26" s="33" t="str">
        <f>IF(A26="","",INDEX('Registro Incidencias'!L$5:L$200,A26))</f>
        <v/>
      </c>
      <c r="D26" s="33" t="str">
        <f>IF(A26="","",INDEX('Registro Incidencias'!A$5:A$200,A26))</f>
        <v/>
      </c>
      <c r="E26" s="33" t="str">
        <f>IF(A26="","",INDEX('Registro Incidencias'!D$5:D$200,A26))</f>
        <v/>
      </c>
      <c r="F26" s="36" t="str">
        <f>IF(A26="","",INDEX('Registro Incidencias'!F$5:F$200,A26))</f>
        <v/>
      </c>
      <c r="G26" s="36" t="str">
        <f>IF(A26="","",INDEX('Registro Incidencias'!G$5:G$200,A26))</f>
        <v/>
      </c>
      <c r="H26" s="36" t="str">
        <f>IF(A26="","",INDEX('Registro Incidencias'!H$5:H$200,A26))</f>
        <v/>
      </c>
      <c r="I26" s="36" t="str">
        <f>IF(A26="","",INDEX('Registro Incidencias'!O$5:O$200,A26))</f>
        <v/>
      </c>
      <c r="J26" s="36" t="str">
        <f>IF(A26="","",INDEX('Registro Incidencias'!R$5:R$200,A26))</f>
        <v/>
      </c>
      <c r="K26" s="36" t="str">
        <f>IF(A26="","",INDEX('Registro Incidencias'!AF$5:AF$200,A26))</f>
        <v/>
      </c>
      <c r="L26" s="39" t="str">
        <f>IF(A26="","",INDEX('Registro Incidencias'!AI$5:AI$200,A26))</f>
        <v/>
      </c>
      <c r="M26" s="33" t="str">
        <f>IF(A26="","",INDEX('Registro Incidencias'!AD$5:AD$200,A26))</f>
        <v/>
      </c>
      <c r="N26" s="36" t="str">
        <f>IF(A26="","",INDEX('Registro Incidencias'!AE$5:AE$200,A26))</f>
        <v/>
      </c>
      <c r="O26" s="33" t="str">
        <f>IF(A26="","",INDEX('Registro Incidencias'!AK$5:AK$200,A26))</f>
        <v/>
      </c>
      <c r="P26" s="63" t="str">
        <f>IF(A26="","",INDEX('Registro Incidencias'!AU$5:AU$200,A26))</f>
        <v/>
      </c>
      <c r="Q26" s="32" t="str">
        <f>IF(A26="","",INDEX('Registro Incidencias'!AV$5:AV$200,A26))</f>
        <v/>
      </c>
      <c r="R26" s="32"/>
      <c r="S26" s="32"/>
    </row>
    <row r="27" spans="1:19" ht="15" customHeight="1" x14ac:dyDescent="0.25">
      <c r="A27" s="25" t="str">
        <f>IFERROR(MATCH(1,INDEX(('Registro Incidencias'!AX$5:AX$200="Juan Luis"&amp;TEXT('📅 Semana'!B$9,"YYYYMMDD"))*('Registro Incidencias'!AY$5:AY$200=3),),0),"")</f>
        <v/>
      </c>
      <c r="B27" s="62" t="str">
        <f>IF(A27="","",INDEX('Registro Incidencias'!U$5:U$200,A27))</f>
        <v/>
      </c>
      <c r="C27" s="22" t="str">
        <f>IF(A27="","",INDEX('Registro Incidencias'!L$5:L$200,A27))</f>
        <v/>
      </c>
      <c r="D27" s="22" t="str">
        <f>IF(A27="","",INDEX('Registro Incidencias'!A$5:A$200,A27))</f>
        <v/>
      </c>
      <c r="E27" s="22" t="str">
        <f>IF(A27="","",INDEX('Registro Incidencias'!D$5:D$200,A27))</f>
        <v/>
      </c>
      <c r="F27" s="25" t="str">
        <f>IF(A27="","",INDEX('Registro Incidencias'!F$5:F$200,A27))</f>
        <v/>
      </c>
      <c r="G27" s="25" t="str">
        <f>IF(A27="","",INDEX('Registro Incidencias'!G$5:G$200,A27))</f>
        <v/>
      </c>
      <c r="H27" s="25" t="str">
        <f>IF(A27="","",INDEX('Registro Incidencias'!H$5:H$200,A27))</f>
        <v/>
      </c>
      <c r="I27" s="25" t="str">
        <f>IF(A27="","",INDEX('Registro Incidencias'!O$5:O$200,A27))</f>
        <v/>
      </c>
      <c r="J27" s="25" t="str">
        <f>IF(A27="","",INDEX('Registro Incidencias'!R$5:R$200,A27))</f>
        <v/>
      </c>
      <c r="K27" s="25" t="str">
        <f>IF(A27="","",INDEX('Registro Incidencias'!AF$5:AF$200,A27))</f>
        <v/>
      </c>
      <c r="L27" s="28" t="str">
        <f>IF(A27="","",INDEX('Registro Incidencias'!AI$5:AI$200,A27))</f>
        <v/>
      </c>
      <c r="M27" s="22" t="str">
        <f>IF(A27="","",INDEX('Registro Incidencias'!AD$5:AD$200,A27))</f>
        <v/>
      </c>
      <c r="N27" s="25" t="str">
        <f>IF(A27="","",INDEX('Registro Incidencias'!AE$5:AE$200,A27))</f>
        <v/>
      </c>
      <c r="O27" s="22" t="str">
        <f>IF(A27="","",INDEX('Registro Incidencias'!AK$5:AK$200,A27))</f>
        <v/>
      </c>
      <c r="P27" s="63" t="str">
        <f>IF(A27="","",INDEX('Registro Incidencias'!AU$5:AU$200,A27))</f>
        <v/>
      </c>
      <c r="Q27" s="32" t="str">
        <f>IF(A27="","",INDEX('Registro Incidencias'!AV$5:AV$200,A27))</f>
        <v/>
      </c>
      <c r="R27" s="32"/>
      <c r="S27" s="32"/>
    </row>
    <row r="28" spans="1:19" ht="15" customHeight="1" x14ac:dyDescent="0.25">
      <c r="A28" s="36" t="str">
        <f>IFERROR(MATCH(1,INDEX(('Registro Incidencias'!AX$5:AX$200="Juan Luis"&amp;TEXT('📅 Semana'!B$9,"YYYYMMDD"))*('Registro Incidencias'!AY$5:AY$200=4),),0),"")</f>
        <v/>
      </c>
      <c r="B28" s="64" t="str">
        <f>IF(A28="","",INDEX('Registro Incidencias'!U$5:U$200,A28))</f>
        <v/>
      </c>
      <c r="C28" s="33" t="str">
        <f>IF(A28="","",INDEX('Registro Incidencias'!L$5:L$200,A28))</f>
        <v/>
      </c>
      <c r="D28" s="33" t="str">
        <f>IF(A28="","",INDEX('Registro Incidencias'!A$5:A$200,A28))</f>
        <v/>
      </c>
      <c r="E28" s="33" t="str">
        <f>IF(A28="","",INDEX('Registro Incidencias'!D$5:D$200,A28))</f>
        <v/>
      </c>
      <c r="F28" s="36" t="str">
        <f>IF(A28="","",INDEX('Registro Incidencias'!F$5:F$200,A28))</f>
        <v/>
      </c>
      <c r="G28" s="36" t="str">
        <f>IF(A28="","",INDEX('Registro Incidencias'!G$5:G$200,A28))</f>
        <v/>
      </c>
      <c r="H28" s="36" t="str">
        <f>IF(A28="","",INDEX('Registro Incidencias'!H$5:H$200,A28))</f>
        <v/>
      </c>
      <c r="I28" s="36" t="str">
        <f>IF(A28="","",INDEX('Registro Incidencias'!O$5:O$200,A28))</f>
        <v/>
      </c>
      <c r="J28" s="36" t="str">
        <f>IF(A28="","",INDEX('Registro Incidencias'!R$5:R$200,A28))</f>
        <v/>
      </c>
      <c r="K28" s="36" t="str">
        <f>IF(A28="","",INDEX('Registro Incidencias'!AF$5:AF$200,A28))</f>
        <v/>
      </c>
      <c r="L28" s="39" t="str">
        <f>IF(A28="","",INDEX('Registro Incidencias'!AI$5:AI$200,A28))</f>
        <v/>
      </c>
      <c r="M28" s="33" t="str">
        <f>IF(A28="","",INDEX('Registro Incidencias'!AD$5:AD$200,A28))</f>
        <v/>
      </c>
      <c r="N28" s="36" t="str">
        <f>IF(A28="","",INDEX('Registro Incidencias'!AE$5:AE$200,A28))</f>
        <v/>
      </c>
      <c r="O28" s="33" t="str">
        <f>IF(A28="","",INDEX('Registro Incidencias'!AK$5:AK$200,A28))</f>
        <v/>
      </c>
      <c r="P28" s="63" t="str">
        <f>IF(A28="","",INDEX('Registro Incidencias'!AU$5:AU$200,A28))</f>
        <v/>
      </c>
      <c r="Q28" s="32" t="str">
        <f>IF(A28="","",INDEX('Registro Incidencias'!AV$5:AV$200,A28))</f>
        <v/>
      </c>
      <c r="R28" s="32"/>
      <c r="S28" s="32"/>
    </row>
    <row r="29" spans="1:19" ht="15" customHeight="1" x14ac:dyDescent="0.25">
      <c r="A29" s="25" t="str">
        <f>IFERROR(MATCH(1,INDEX(('Registro Incidencias'!AX$5:AX$200="Juan Luis"&amp;TEXT('📅 Semana'!B$9,"YYYYMMDD"))*('Registro Incidencias'!AY$5:AY$200=5),),0),"")</f>
        <v/>
      </c>
      <c r="B29" s="62" t="str">
        <f>IF(A29="","",INDEX('Registro Incidencias'!U$5:U$200,A29))</f>
        <v/>
      </c>
      <c r="C29" s="22" t="str">
        <f>IF(A29="","",INDEX('Registro Incidencias'!L$5:L$200,A29))</f>
        <v/>
      </c>
      <c r="D29" s="22" t="str">
        <f>IF(A29="","",INDEX('Registro Incidencias'!A$5:A$200,A29))</f>
        <v/>
      </c>
      <c r="E29" s="22" t="str">
        <f>IF(A29="","",INDEX('Registro Incidencias'!D$5:D$200,A29))</f>
        <v/>
      </c>
      <c r="F29" s="25" t="str">
        <f>IF(A29="","",INDEX('Registro Incidencias'!F$5:F$200,A29))</f>
        <v/>
      </c>
      <c r="G29" s="25" t="str">
        <f>IF(A29="","",INDEX('Registro Incidencias'!G$5:G$200,A29))</f>
        <v/>
      </c>
      <c r="H29" s="25" t="str">
        <f>IF(A29="","",INDEX('Registro Incidencias'!H$5:H$200,A29))</f>
        <v/>
      </c>
      <c r="I29" s="25" t="str">
        <f>IF(A29="","",INDEX('Registro Incidencias'!O$5:O$200,A29))</f>
        <v/>
      </c>
      <c r="J29" s="25" t="str">
        <f>IF(A29="","",INDEX('Registro Incidencias'!R$5:R$200,A29))</f>
        <v/>
      </c>
      <c r="K29" s="25" t="str">
        <f>IF(A29="","",INDEX('Registro Incidencias'!AF$5:AF$200,A29))</f>
        <v/>
      </c>
      <c r="L29" s="28" t="str">
        <f>IF(A29="","",INDEX('Registro Incidencias'!AI$5:AI$200,A29))</f>
        <v/>
      </c>
      <c r="M29" s="22" t="str">
        <f>IF(A29="","",INDEX('Registro Incidencias'!AD$5:AD$200,A29))</f>
        <v/>
      </c>
      <c r="N29" s="25" t="str">
        <f>IF(A29="","",INDEX('Registro Incidencias'!AE$5:AE$200,A29))</f>
        <v/>
      </c>
      <c r="O29" s="22" t="str">
        <f>IF(A29="","",INDEX('Registro Incidencias'!AK$5:AK$200,A29))</f>
        <v/>
      </c>
      <c r="P29" s="63" t="str">
        <f>IF(A29="","",INDEX('Registro Incidencias'!AU$5:AU$200,A29))</f>
        <v/>
      </c>
      <c r="Q29" s="32" t="str">
        <f>IF(A29="","",INDEX('Registro Incidencias'!AV$5:AV$200,A29))</f>
        <v/>
      </c>
      <c r="R29" s="32"/>
      <c r="S29" s="32"/>
    </row>
    <row r="30" spans="1:19" ht="15" customHeight="1" x14ac:dyDescent="0.25">
      <c r="A30" s="36" t="str">
        <f>IFERROR(MATCH(1,INDEX(('Registro Incidencias'!AX$5:AX$200="Juan Luis"&amp;TEXT('📅 Semana'!B$9,"YYYYMMDD"))*('Registro Incidencias'!AY$5:AY$200=6),),0),"")</f>
        <v/>
      </c>
      <c r="B30" s="64" t="str">
        <f>IF(A30="","",INDEX('Registro Incidencias'!U$5:U$200,A30))</f>
        <v/>
      </c>
      <c r="C30" s="33" t="str">
        <f>IF(A30="","",INDEX('Registro Incidencias'!L$5:L$200,A30))</f>
        <v/>
      </c>
      <c r="D30" s="33" t="str">
        <f>IF(A30="","",INDEX('Registro Incidencias'!A$5:A$200,A30))</f>
        <v/>
      </c>
      <c r="E30" s="33" t="str">
        <f>IF(A30="","",INDEX('Registro Incidencias'!D$5:D$200,A30))</f>
        <v/>
      </c>
      <c r="F30" s="36" t="str">
        <f>IF(A30="","",INDEX('Registro Incidencias'!F$5:F$200,A30))</f>
        <v/>
      </c>
      <c r="G30" s="36" t="str">
        <f>IF(A30="","",INDEX('Registro Incidencias'!G$5:G$200,A30))</f>
        <v/>
      </c>
      <c r="H30" s="36" t="str">
        <f>IF(A30="","",INDEX('Registro Incidencias'!H$5:H$200,A30))</f>
        <v/>
      </c>
      <c r="I30" s="36" t="str">
        <f>IF(A30="","",INDEX('Registro Incidencias'!O$5:O$200,A30))</f>
        <v/>
      </c>
      <c r="J30" s="36" t="str">
        <f>IF(A30="","",INDEX('Registro Incidencias'!R$5:R$200,A30))</f>
        <v/>
      </c>
      <c r="K30" s="36" t="str">
        <f>IF(A30="","",INDEX('Registro Incidencias'!AF$5:AF$200,A30))</f>
        <v/>
      </c>
      <c r="L30" s="39" t="str">
        <f>IF(A30="","",INDEX('Registro Incidencias'!AI$5:AI$200,A30))</f>
        <v/>
      </c>
      <c r="M30" s="33" t="str">
        <f>IF(A30="","",INDEX('Registro Incidencias'!AD$5:AD$200,A30))</f>
        <v/>
      </c>
      <c r="N30" s="36" t="str">
        <f>IF(A30="","",INDEX('Registro Incidencias'!AE$5:AE$200,A30))</f>
        <v/>
      </c>
      <c r="O30" s="33" t="str">
        <f>IF(A30="","",INDEX('Registro Incidencias'!AK$5:AK$200,A30))</f>
        <v/>
      </c>
      <c r="P30" s="63" t="str">
        <f>IF(A30="","",INDEX('Registro Incidencias'!AU$5:AU$200,A30))</f>
        <v/>
      </c>
      <c r="Q30" s="32" t="str">
        <f>IF(A30="","",INDEX('Registro Incidencias'!AV$5:AV$200,A30))</f>
        <v/>
      </c>
      <c r="R30" s="32"/>
      <c r="S30" s="32"/>
    </row>
    <row r="31" spans="1:19" ht="21.75" customHeight="1" x14ac:dyDescent="0.25">
      <c r="A31" s="125" t="str">
        <f>COUNTIFS('Registro Incidencias'!S$5:S$200,"Juan Luis",'Registro Incidencias'!T$5:T$200,'📅 Semana'!B$9)&amp;" averías"</f>
        <v>0 averías</v>
      </c>
      <c r="B31" s="125"/>
      <c r="C31" s="125"/>
      <c r="D31" s="125"/>
      <c r="E31" s="125"/>
      <c r="F31" s="125"/>
      <c r="G31" s="125"/>
      <c r="H31" s="125"/>
      <c r="I31" s="125"/>
      <c r="J31" s="2" t="str">
        <f>"Verificadas: "&amp;COUNTIFS(A25:A30,"&lt;&gt;",P25:P30,"&lt;&gt;")&amp;"/"&amp;COUNTIF(A25:A30,"&lt;&gt;")</f>
        <v>Verificadas: 6/6</v>
      </c>
      <c r="K31" s="2"/>
      <c r="L31" s="2"/>
      <c r="M31" s="2"/>
      <c r="N31" s="2"/>
      <c r="O31" s="2"/>
      <c r="P31" s="2"/>
    </row>
    <row r="33" spans="1:19" ht="30" customHeight="1" x14ac:dyDescent="0.25">
      <c r="A33" s="126" t="str">
        <f>TEXT('📅 Semana'!B$10,"DDDD")&amp;"  —  "&amp;TEXT('📅 Semana'!B$10,"DD/MM/")&amp;"2026"</f>
        <v>jueves  —  19/02/2026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</row>
    <row r="34" spans="1:19" ht="30" customHeight="1" x14ac:dyDescent="0.25">
      <c r="A34" s="67" t="s">
        <v>85</v>
      </c>
      <c r="B34" s="67" t="s">
        <v>86</v>
      </c>
      <c r="C34" s="67" t="s">
        <v>18</v>
      </c>
      <c r="D34" s="67" t="s">
        <v>87</v>
      </c>
      <c r="E34" s="67" t="s">
        <v>88</v>
      </c>
      <c r="F34" s="67" t="s">
        <v>89</v>
      </c>
      <c r="G34" s="67" t="s">
        <v>13</v>
      </c>
      <c r="H34" s="67" t="s">
        <v>14</v>
      </c>
      <c r="I34" s="67" t="s">
        <v>90</v>
      </c>
      <c r="J34" s="67" t="s">
        <v>91</v>
      </c>
      <c r="K34" s="67" t="s">
        <v>92</v>
      </c>
      <c r="L34" s="67" t="s">
        <v>93</v>
      </c>
      <c r="M34" s="67" t="s">
        <v>94</v>
      </c>
      <c r="N34" s="67" t="s">
        <v>37</v>
      </c>
      <c r="O34" s="67" t="s">
        <v>43</v>
      </c>
      <c r="P34" s="61" t="s">
        <v>95</v>
      </c>
      <c r="Q34" s="61" t="s">
        <v>96</v>
      </c>
      <c r="R34" s="61" t="s">
        <v>97</v>
      </c>
      <c r="S34" s="61" t="s">
        <v>98</v>
      </c>
    </row>
    <row r="35" spans="1:19" ht="15" customHeight="1" x14ac:dyDescent="0.25">
      <c r="A35" s="25" t="str">
        <f>IFERROR(MATCH(1,INDEX(('Registro Incidencias'!AX$5:AX$200="Juan Luis"&amp;TEXT('📅 Semana'!B$10,"YYYYMMDD"))*('Registro Incidencias'!AY$5:AY$200=1),),0),"")</f>
        <v/>
      </c>
      <c r="B35" s="62" t="str">
        <f>IF(A35="","",INDEX('Registro Incidencias'!U$5:U$200,A35))</f>
        <v/>
      </c>
      <c r="C35" s="22" t="str">
        <f>IF(A35="","",INDEX('Registro Incidencias'!L$5:L$200,A35))</f>
        <v/>
      </c>
      <c r="D35" s="22" t="str">
        <f>IF(A35="","",INDEX('Registro Incidencias'!A$5:A$200,A35))</f>
        <v/>
      </c>
      <c r="E35" s="22" t="str">
        <f>IF(A35="","",INDEX('Registro Incidencias'!D$5:D$200,A35))</f>
        <v/>
      </c>
      <c r="F35" s="25" t="str">
        <f>IF(A35="","",INDEX('Registro Incidencias'!F$5:F$200,A35))</f>
        <v/>
      </c>
      <c r="G35" s="25" t="str">
        <f>IF(A35="","",INDEX('Registro Incidencias'!G$5:G$200,A35))</f>
        <v/>
      </c>
      <c r="H35" s="25" t="str">
        <f>IF(A35="","",INDEX('Registro Incidencias'!H$5:H$200,A35))</f>
        <v/>
      </c>
      <c r="I35" s="25" t="str">
        <f>IF(A35="","",INDEX('Registro Incidencias'!O$5:O$200,A35))</f>
        <v/>
      </c>
      <c r="J35" s="25" t="str">
        <f>IF(A35="","",INDEX('Registro Incidencias'!R$5:R$200,A35))</f>
        <v/>
      </c>
      <c r="K35" s="25" t="str">
        <f>IF(A35="","",INDEX('Registro Incidencias'!AF$5:AF$200,A35))</f>
        <v/>
      </c>
      <c r="L35" s="28" t="str">
        <f>IF(A35="","",INDEX('Registro Incidencias'!AI$5:AI$200,A35))</f>
        <v/>
      </c>
      <c r="M35" s="22" t="str">
        <f>IF(A35="","",INDEX('Registro Incidencias'!AD$5:AD$200,A35))</f>
        <v/>
      </c>
      <c r="N35" s="25" t="str">
        <f>IF(A35="","",INDEX('Registro Incidencias'!AE$5:AE$200,A35))</f>
        <v/>
      </c>
      <c r="O35" s="22" t="str">
        <f>IF(A35="","",INDEX('Registro Incidencias'!AK$5:AK$200,A35))</f>
        <v/>
      </c>
      <c r="P35" s="63" t="str">
        <f>IF(A35="","",INDEX('Registro Incidencias'!AU$5:AU$200,A35))</f>
        <v/>
      </c>
      <c r="Q35" s="32" t="str">
        <f>IF(A35="","",INDEX('Registro Incidencias'!AV$5:AV$200,A35))</f>
        <v/>
      </c>
      <c r="R35" s="32"/>
      <c r="S35" s="32"/>
    </row>
    <row r="36" spans="1:19" ht="15" customHeight="1" x14ac:dyDescent="0.25">
      <c r="A36" s="36" t="str">
        <f>IFERROR(MATCH(1,INDEX(('Registro Incidencias'!AX$5:AX$200="Juan Luis"&amp;TEXT('📅 Semana'!B$10,"YYYYMMDD"))*('Registro Incidencias'!AY$5:AY$200=2),),0),"")</f>
        <v/>
      </c>
      <c r="B36" s="64" t="str">
        <f>IF(A36="","",INDEX('Registro Incidencias'!U$5:U$200,A36))</f>
        <v/>
      </c>
      <c r="C36" s="33" t="str">
        <f>IF(A36="","",INDEX('Registro Incidencias'!L$5:L$200,A36))</f>
        <v/>
      </c>
      <c r="D36" s="33" t="str">
        <f>IF(A36="","",INDEX('Registro Incidencias'!A$5:A$200,A36))</f>
        <v/>
      </c>
      <c r="E36" s="33" t="str">
        <f>IF(A36="","",INDEX('Registro Incidencias'!D$5:D$200,A36))</f>
        <v/>
      </c>
      <c r="F36" s="36" t="str">
        <f>IF(A36="","",INDEX('Registro Incidencias'!F$5:F$200,A36))</f>
        <v/>
      </c>
      <c r="G36" s="36" t="str">
        <f>IF(A36="","",INDEX('Registro Incidencias'!G$5:G$200,A36))</f>
        <v/>
      </c>
      <c r="H36" s="36" t="str">
        <f>IF(A36="","",INDEX('Registro Incidencias'!H$5:H$200,A36))</f>
        <v/>
      </c>
      <c r="I36" s="36" t="str">
        <f>IF(A36="","",INDEX('Registro Incidencias'!O$5:O$200,A36))</f>
        <v/>
      </c>
      <c r="J36" s="36" t="str">
        <f>IF(A36="","",INDEX('Registro Incidencias'!R$5:R$200,A36))</f>
        <v/>
      </c>
      <c r="K36" s="36" t="str">
        <f>IF(A36="","",INDEX('Registro Incidencias'!AF$5:AF$200,A36))</f>
        <v/>
      </c>
      <c r="L36" s="39" t="str">
        <f>IF(A36="","",INDEX('Registro Incidencias'!AI$5:AI$200,A36))</f>
        <v/>
      </c>
      <c r="M36" s="33" t="str">
        <f>IF(A36="","",INDEX('Registro Incidencias'!AD$5:AD$200,A36))</f>
        <v/>
      </c>
      <c r="N36" s="36" t="str">
        <f>IF(A36="","",INDEX('Registro Incidencias'!AE$5:AE$200,A36))</f>
        <v/>
      </c>
      <c r="O36" s="33" t="str">
        <f>IF(A36="","",INDEX('Registro Incidencias'!AK$5:AK$200,A36))</f>
        <v/>
      </c>
      <c r="P36" s="63" t="str">
        <f>IF(A36="","",INDEX('Registro Incidencias'!AU$5:AU$200,A36))</f>
        <v/>
      </c>
      <c r="Q36" s="32" t="str">
        <f>IF(A36="","",INDEX('Registro Incidencias'!AV$5:AV$200,A36))</f>
        <v/>
      </c>
      <c r="R36" s="32"/>
      <c r="S36" s="32"/>
    </row>
    <row r="37" spans="1:19" ht="15" customHeight="1" x14ac:dyDescent="0.25">
      <c r="A37" s="25" t="str">
        <f>IFERROR(MATCH(1,INDEX(('Registro Incidencias'!AX$5:AX$200="Juan Luis"&amp;TEXT('📅 Semana'!B$10,"YYYYMMDD"))*('Registro Incidencias'!AY$5:AY$200=3),),0),"")</f>
        <v/>
      </c>
      <c r="B37" s="62" t="str">
        <f>IF(A37="","",INDEX('Registro Incidencias'!U$5:U$200,A37))</f>
        <v/>
      </c>
      <c r="C37" s="22" t="str">
        <f>IF(A37="","",INDEX('Registro Incidencias'!L$5:L$200,A37))</f>
        <v/>
      </c>
      <c r="D37" s="22" t="str">
        <f>IF(A37="","",INDEX('Registro Incidencias'!A$5:A$200,A37))</f>
        <v/>
      </c>
      <c r="E37" s="22" t="str">
        <f>IF(A37="","",INDEX('Registro Incidencias'!D$5:D$200,A37))</f>
        <v/>
      </c>
      <c r="F37" s="25" t="str">
        <f>IF(A37="","",INDEX('Registro Incidencias'!F$5:F$200,A37))</f>
        <v/>
      </c>
      <c r="G37" s="25" t="str">
        <f>IF(A37="","",INDEX('Registro Incidencias'!G$5:G$200,A37))</f>
        <v/>
      </c>
      <c r="H37" s="25" t="str">
        <f>IF(A37="","",INDEX('Registro Incidencias'!H$5:H$200,A37))</f>
        <v/>
      </c>
      <c r="I37" s="25" t="str">
        <f>IF(A37="","",INDEX('Registro Incidencias'!O$5:O$200,A37))</f>
        <v/>
      </c>
      <c r="J37" s="25" t="str">
        <f>IF(A37="","",INDEX('Registro Incidencias'!R$5:R$200,A37))</f>
        <v/>
      </c>
      <c r="K37" s="25" t="str">
        <f>IF(A37="","",INDEX('Registro Incidencias'!AF$5:AF$200,A37))</f>
        <v/>
      </c>
      <c r="L37" s="28" t="str">
        <f>IF(A37="","",INDEX('Registro Incidencias'!AI$5:AI$200,A37))</f>
        <v/>
      </c>
      <c r="M37" s="22" t="str">
        <f>IF(A37="","",INDEX('Registro Incidencias'!AD$5:AD$200,A37))</f>
        <v/>
      </c>
      <c r="N37" s="25" t="str">
        <f>IF(A37="","",INDEX('Registro Incidencias'!AE$5:AE$200,A37))</f>
        <v/>
      </c>
      <c r="O37" s="22" t="str">
        <f>IF(A37="","",INDEX('Registro Incidencias'!AK$5:AK$200,A37))</f>
        <v/>
      </c>
      <c r="P37" s="63" t="str">
        <f>IF(A37="","",INDEX('Registro Incidencias'!AU$5:AU$200,A37))</f>
        <v/>
      </c>
      <c r="Q37" s="32" t="str">
        <f>IF(A37="","",INDEX('Registro Incidencias'!AV$5:AV$200,A37))</f>
        <v/>
      </c>
      <c r="R37" s="32"/>
      <c r="S37" s="32"/>
    </row>
    <row r="38" spans="1:19" ht="15" customHeight="1" x14ac:dyDescent="0.25">
      <c r="A38" s="36" t="str">
        <f>IFERROR(MATCH(1,INDEX(('Registro Incidencias'!AX$5:AX$200="Juan Luis"&amp;TEXT('📅 Semana'!B$10,"YYYYMMDD"))*('Registro Incidencias'!AY$5:AY$200=4),),0),"")</f>
        <v/>
      </c>
      <c r="B38" s="64" t="str">
        <f>IF(A38="","",INDEX('Registro Incidencias'!U$5:U$200,A38))</f>
        <v/>
      </c>
      <c r="C38" s="33" t="str">
        <f>IF(A38="","",INDEX('Registro Incidencias'!L$5:L$200,A38))</f>
        <v/>
      </c>
      <c r="D38" s="33" t="str">
        <f>IF(A38="","",INDEX('Registro Incidencias'!A$5:A$200,A38))</f>
        <v/>
      </c>
      <c r="E38" s="33" t="str">
        <f>IF(A38="","",INDEX('Registro Incidencias'!D$5:D$200,A38))</f>
        <v/>
      </c>
      <c r="F38" s="36" t="str">
        <f>IF(A38="","",INDEX('Registro Incidencias'!F$5:F$200,A38))</f>
        <v/>
      </c>
      <c r="G38" s="36" t="str">
        <f>IF(A38="","",INDEX('Registro Incidencias'!G$5:G$200,A38))</f>
        <v/>
      </c>
      <c r="H38" s="36" t="str">
        <f>IF(A38="","",INDEX('Registro Incidencias'!H$5:H$200,A38))</f>
        <v/>
      </c>
      <c r="I38" s="36" t="str">
        <f>IF(A38="","",INDEX('Registro Incidencias'!O$5:O$200,A38))</f>
        <v/>
      </c>
      <c r="J38" s="36" t="str">
        <f>IF(A38="","",INDEX('Registro Incidencias'!R$5:R$200,A38))</f>
        <v/>
      </c>
      <c r="K38" s="36" t="str">
        <f>IF(A38="","",INDEX('Registro Incidencias'!AF$5:AF$200,A38))</f>
        <v/>
      </c>
      <c r="L38" s="39" t="str">
        <f>IF(A38="","",INDEX('Registro Incidencias'!AI$5:AI$200,A38))</f>
        <v/>
      </c>
      <c r="M38" s="33" t="str">
        <f>IF(A38="","",INDEX('Registro Incidencias'!AD$5:AD$200,A38))</f>
        <v/>
      </c>
      <c r="N38" s="36" t="str">
        <f>IF(A38="","",INDEX('Registro Incidencias'!AE$5:AE$200,A38))</f>
        <v/>
      </c>
      <c r="O38" s="33" t="str">
        <f>IF(A38="","",INDEX('Registro Incidencias'!AK$5:AK$200,A38))</f>
        <v/>
      </c>
      <c r="P38" s="63" t="str">
        <f>IF(A38="","",INDEX('Registro Incidencias'!AU$5:AU$200,A38))</f>
        <v/>
      </c>
      <c r="Q38" s="32" t="str">
        <f>IF(A38="","",INDEX('Registro Incidencias'!AV$5:AV$200,A38))</f>
        <v/>
      </c>
      <c r="R38" s="32"/>
      <c r="S38" s="32"/>
    </row>
    <row r="39" spans="1:19" ht="15" customHeight="1" x14ac:dyDescent="0.25">
      <c r="A39" s="25" t="str">
        <f>IFERROR(MATCH(1,INDEX(('Registro Incidencias'!AX$5:AX$200="Juan Luis"&amp;TEXT('📅 Semana'!B$10,"YYYYMMDD"))*('Registro Incidencias'!AY$5:AY$200=5),),0),"")</f>
        <v/>
      </c>
      <c r="B39" s="62" t="str">
        <f>IF(A39="","",INDEX('Registro Incidencias'!U$5:U$200,A39))</f>
        <v/>
      </c>
      <c r="C39" s="22" t="str">
        <f>IF(A39="","",INDEX('Registro Incidencias'!L$5:L$200,A39))</f>
        <v/>
      </c>
      <c r="D39" s="22" t="str">
        <f>IF(A39="","",INDEX('Registro Incidencias'!A$5:A$200,A39))</f>
        <v/>
      </c>
      <c r="E39" s="22" t="str">
        <f>IF(A39="","",INDEX('Registro Incidencias'!D$5:D$200,A39))</f>
        <v/>
      </c>
      <c r="F39" s="25" t="str">
        <f>IF(A39="","",INDEX('Registro Incidencias'!F$5:F$200,A39))</f>
        <v/>
      </c>
      <c r="G39" s="25" t="str">
        <f>IF(A39="","",INDEX('Registro Incidencias'!G$5:G$200,A39))</f>
        <v/>
      </c>
      <c r="H39" s="25" t="str">
        <f>IF(A39="","",INDEX('Registro Incidencias'!H$5:H$200,A39))</f>
        <v/>
      </c>
      <c r="I39" s="25" t="str">
        <f>IF(A39="","",INDEX('Registro Incidencias'!O$5:O$200,A39))</f>
        <v/>
      </c>
      <c r="J39" s="25" t="str">
        <f>IF(A39="","",INDEX('Registro Incidencias'!R$5:R$200,A39))</f>
        <v/>
      </c>
      <c r="K39" s="25" t="str">
        <f>IF(A39="","",INDEX('Registro Incidencias'!AF$5:AF$200,A39))</f>
        <v/>
      </c>
      <c r="L39" s="28" t="str">
        <f>IF(A39="","",INDEX('Registro Incidencias'!AI$5:AI$200,A39))</f>
        <v/>
      </c>
      <c r="M39" s="22" t="str">
        <f>IF(A39="","",INDEX('Registro Incidencias'!AD$5:AD$200,A39))</f>
        <v/>
      </c>
      <c r="N39" s="25" t="str">
        <f>IF(A39="","",INDEX('Registro Incidencias'!AE$5:AE$200,A39))</f>
        <v/>
      </c>
      <c r="O39" s="22" t="str">
        <f>IF(A39="","",INDEX('Registro Incidencias'!AK$5:AK$200,A39))</f>
        <v/>
      </c>
      <c r="P39" s="63" t="str">
        <f>IF(A39="","",INDEX('Registro Incidencias'!AU$5:AU$200,A39))</f>
        <v/>
      </c>
      <c r="Q39" s="32" t="str">
        <f>IF(A39="","",INDEX('Registro Incidencias'!AV$5:AV$200,A39))</f>
        <v/>
      </c>
      <c r="R39" s="32"/>
      <c r="S39" s="32"/>
    </row>
    <row r="40" spans="1:19" ht="15" customHeight="1" x14ac:dyDescent="0.25">
      <c r="A40" s="36" t="str">
        <f>IFERROR(MATCH(1,INDEX(('Registro Incidencias'!AX$5:AX$200="Juan Luis"&amp;TEXT('📅 Semana'!B$10,"YYYYMMDD"))*('Registro Incidencias'!AY$5:AY$200=6),),0),"")</f>
        <v/>
      </c>
      <c r="B40" s="64" t="str">
        <f>IF(A40="","",INDEX('Registro Incidencias'!U$5:U$200,A40))</f>
        <v/>
      </c>
      <c r="C40" s="33" t="str">
        <f>IF(A40="","",INDEX('Registro Incidencias'!L$5:L$200,A40))</f>
        <v/>
      </c>
      <c r="D40" s="33" t="str">
        <f>IF(A40="","",INDEX('Registro Incidencias'!A$5:A$200,A40))</f>
        <v/>
      </c>
      <c r="E40" s="33" t="str">
        <f>IF(A40="","",INDEX('Registro Incidencias'!D$5:D$200,A40))</f>
        <v/>
      </c>
      <c r="F40" s="36" t="str">
        <f>IF(A40="","",INDEX('Registro Incidencias'!F$5:F$200,A40))</f>
        <v/>
      </c>
      <c r="G40" s="36" t="str">
        <f>IF(A40="","",INDEX('Registro Incidencias'!G$5:G$200,A40))</f>
        <v/>
      </c>
      <c r="H40" s="36" t="str">
        <f>IF(A40="","",INDEX('Registro Incidencias'!H$5:H$200,A40))</f>
        <v/>
      </c>
      <c r="I40" s="36" t="str">
        <f>IF(A40="","",INDEX('Registro Incidencias'!O$5:O$200,A40))</f>
        <v/>
      </c>
      <c r="J40" s="36" t="str">
        <f>IF(A40="","",INDEX('Registro Incidencias'!R$5:R$200,A40))</f>
        <v/>
      </c>
      <c r="K40" s="36" t="str">
        <f>IF(A40="","",INDEX('Registro Incidencias'!AF$5:AF$200,A40))</f>
        <v/>
      </c>
      <c r="L40" s="39" t="str">
        <f>IF(A40="","",INDEX('Registro Incidencias'!AI$5:AI$200,A40))</f>
        <v/>
      </c>
      <c r="M40" s="33" t="str">
        <f>IF(A40="","",INDEX('Registro Incidencias'!AD$5:AD$200,A40))</f>
        <v/>
      </c>
      <c r="N40" s="36" t="str">
        <f>IF(A40="","",INDEX('Registro Incidencias'!AE$5:AE$200,A40))</f>
        <v/>
      </c>
      <c r="O40" s="33" t="str">
        <f>IF(A40="","",INDEX('Registro Incidencias'!AK$5:AK$200,A40))</f>
        <v/>
      </c>
      <c r="P40" s="63" t="str">
        <f>IF(A40="","",INDEX('Registro Incidencias'!AU$5:AU$200,A40))</f>
        <v/>
      </c>
      <c r="Q40" s="32" t="str">
        <f>IF(A40="","",INDEX('Registro Incidencias'!AV$5:AV$200,A40))</f>
        <v/>
      </c>
      <c r="R40" s="32"/>
      <c r="S40" s="32"/>
    </row>
    <row r="41" spans="1:19" ht="21.75" customHeight="1" x14ac:dyDescent="0.25">
      <c r="A41" s="127" t="str">
        <f>COUNTIFS('Registro Incidencias'!S$5:S$200,"Juan Luis",'Registro Incidencias'!T$5:T$200,'📅 Semana'!B$10)&amp;" averías"</f>
        <v>0 averías</v>
      </c>
      <c r="B41" s="127"/>
      <c r="C41" s="127"/>
      <c r="D41" s="127"/>
      <c r="E41" s="127"/>
      <c r="F41" s="127"/>
      <c r="G41" s="127"/>
      <c r="H41" s="127"/>
      <c r="I41" s="127"/>
      <c r="J41" s="2" t="str">
        <f>"Verificadas: "&amp;COUNTIFS(A35:A40,"&lt;&gt;",P35:P40,"&lt;&gt;")&amp;"/"&amp;COUNTIF(A35:A40,"&lt;&gt;")</f>
        <v>Verificadas: 6/6</v>
      </c>
      <c r="K41" s="2"/>
      <c r="L41" s="2"/>
      <c r="M41" s="2"/>
      <c r="N41" s="2"/>
      <c r="O41" s="2"/>
      <c r="P41" s="2"/>
    </row>
    <row r="43" spans="1:19" ht="30" customHeight="1" x14ac:dyDescent="0.25">
      <c r="A43" s="128" t="str">
        <f>TEXT('📅 Semana'!B$11,"DDDD")&amp;"  —  "&amp;TEXT('📅 Semana'!B$11,"DD/MM/")&amp;"2026"</f>
        <v>viernes  —  20/02/2026</v>
      </c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</row>
    <row r="44" spans="1:19" ht="30" customHeight="1" x14ac:dyDescent="0.25">
      <c r="A44" s="68" t="s">
        <v>85</v>
      </c>
      <c r="B44" s="68" t="s">
        <v>86</v>
      </c>
      <c r="C44" s="68" t="s">
        <v>18</v>
      </c>
      <c r="D44" s="68" t="s">
        <v>87</v>
      </c>
      <c r="E44" s="68" t="s">
        <v>88</v>
      </c>
      <c r="F44" s="68" t="s">
        <v>89</v>
      </c>
      <c r="G44" s="68" t="s">
        <v>13</v>
      </c>
      <c r="H44" s="68" t="s">
        <v>14</v>
      </c>
      <c r="I44" s="68" t="s">
        <v>90</v>
      </c>
      <c r="J44" s="68" t="s">
        <v>91</v>
      </c>
      <c r="K44" s="68" t="s">
        <v>92</v>
      </c>
      <c r="L44" s="68" t="s">
        <v>93</v>
      </c>
      <c r="M44" s="68" t="s">
        <v>94</v>
      </c>
      <c r="N44" s="68" t="s">
        <v>37</v>
      </c>
      <c r="O44" s="68" t="s">
        <v>43</v>
      </c>
      <c r="P44" s="61" t="s">
        <v>95</v>
      </c>
      <c r="Q44" s="61" t="s">
        <v>96</v>
      </c>
      <c r="R44" s="61" t="s">
        <v>97</v>
      </c>
      <c r="S44" s="61" t="s">
        <v>98</v>
      </c>
    </row>
    <row r="45" spans="1:19" ht="15" customHeight="1" x14ac:dyDescent="0.25">
      <c r="A45" s="25" t="str">
        <f>IFERROR(MATCH(1,INDEX(('Registro Incidencias'!AX$5:AX$200="Juan Luis"&amp;TEXT('📅 Semana'!B$11,"YYYYMMDD"))*('Registro Incidencias'!AY$5:AY$200=1),),0),"")</f>
        <v/>
      </c>
      <c r="B45" s="62" t="str">
        <f>IF(A45="","",INDEX('Registro Incidencias'!U$5:U$200,A45))</f>
        <v/>
      </c>
      <c r="C45" s="22" t="str">
        <f>IF(A45="","",INDEX('Registro Incidencias'!L$5:L$200,A45))</f>
        <v/>
      </c>
      <c r="D45" s="22" t="str">
        <f>IF(A45="","",INDEX('Registro Incidencias'!A$5:A$200,A45))</f>
        <v/>
      </c>
      <c r="E45" s="22" t="str">
        <f>IF(A45="","",INDEX('Registro Incidencias'!D$5:D$200,A45))</f>
        <v/>
      </c>
      <c r="F45" s="25" t="str">
        <f>IF(A45="","",INDEX('Registro Incidencias'!F$5:F$200,A45))</f>
        <v/>
      </c>
      <c r="G45" s="25" t="str">
        <f>IF(A45="","",INDEX('Registro Incidencias'!G$5:G$200,A45))</f>
        <v/>
      </c>
      <c r="H45" s="25" t="str">
        <f>IF(A45="","",INDEX('Registro Incidencias'!H$5:H$200,A45))</f>
        <v/>
      </c>
      <c r="I45" s="25" t="str">
        <f>IF(A45="","",INDEX('Registro Incidencias'!O$5:O$200,A45))</f>
        <v/>
      </c>
      <c r="J45" s="25" t="str">
        <f>IF(A45="","",INDEX('Registro Incidencias'!R$5:R$200,A45))</f>
        <v/>
      </c>
      <c r="K45" s="25" t="str">
        <f>IF(A45="","",INDEX('Registro Incidencias'!AF$5:AF$200,A45))</f>
        <v/>
      </c>
      <c r="L45" s="28" t="str">
        <f>IF(A45="","",INDEX('Registro Incidencias'!AI$5:AI$200,A45))</f>
        <v/>
      </c>
      <c r="M45" s="22" t="str">
        <f>IF(A45="","",INDEX('Registro Incidencias'!AD$5:AD$200,A45))</f>
        <v/>
      </c>
      <c r="N45" s="25" t="str">
        <f>IF(A45="","",INDEX('Registro Incidencias'!AE$5:AE$200,A45))</f>
        <v/>
      </c>
      <c r="O45" s="22" t="str">
        <f>IF(A45="","",INDEX('Registro Incidencias'!AK$5:AK$200,A45))</f>
        <v/>
      </c>
      <c r="P45" s="63" t="str">
        <f>IF(A45="","",INDEX('Registro Incidencias'!AU$5:AU$200,A45))</f>
        <v/>
      </c>
      <c r="Q45" s="32" t="str">
        <f>IF(A45="","",INDEX('Registro Incidencias'!AV$5:AV$200,A45))</f>
        <v/>
      </c>
      <c r="R45" s="32"/>
      <c r="S45" s="32"/>
    </row>
    <row r="46" spans="1:19" ht="15" customHeight="1" x14ac:dyDescent="0.25">
      <c r="A46" s="36" t="str">
        <f>IFERROR(MATCH(1,INDEX(('Registro Incidencias'!AX$5:AX$200="Juan Luis"&amp;TEXT('📅 Semana'!B$11,"YYYYMMDD"))*('Registro Incidencias'!AY$5:AY$200=2),),0),"")</f>
        <v/>
      </c>
      <c r="B46" s="64" t="str">
        <f>IF(A46="","",INDEX('Registro Incidencias'!U$5:U$200,A46))</f>
        <v/>
      </c>
      <c r="C46" s="33" t="str">
        <f>IF(A46="","",INDEX('Registro Incidencias'!L$5:L$200,A46))</f>
        <v/>
      </c>
      <c r="D46" s="33" t="str">
        <f>IF(A46="","",INDEX('Registro Incidencias'!A$5:A$200,A46))</f>
        <v/>
      </c>
      <c r="E46" s="33" t="str">
        <f>IF(A46="","",INDEX('Registro Incidencias'!D$5:D$200,A46))</f>
        <v/>
      </c>
      <c r="F46" s="36" t="str">
        <f>IF(A46="","",INDEX('Registro Incidencias'!F$5:F$200,A46))</f>
        <v/>
      </c>
      <c r="G46" s="36" t="str">
        <f>IF(A46="","",INDEX('Registro Incidencias'!G$5:G$200,A46))</f>
        <v/>
      </c>
      <c r="H46" s="36" t="str">
        <f>IF(A46="","",INDEX('Registro Incidencias'!H$5:H$200,A46))</f>
        <v/>
      </c>
      <c r="I46" s="36" t="str">
        <f>IF(A46="","",INDEX('Registro Incidencias'!O$5:O$200,A46))</f>
        <v/>
      </c>
      <c r="J46" s="36" t="str">
        <f>IF(A46="","",INDEX('Registro Incidencias'!R$5:R$200,A46))</f>
        <v/>
      </c>
      <c r="K46" s="36" t="str">
        <f>IF(A46="","",INDEX('Registro Incidencias'!AF$5:AF$200,A46))</f>
        <v/>
      </c>
      <c r="L46" s="39" t="str">
        <f>IF(A46="","",INDEX('Registro Incidencias'!AI$5:AI$200,A46))</f>
        <v/>
      </c>
      <c r="M46" s="33" t="str">
        <f>IF(A46="","",INDEX('Registro Incidencias'!AD$5:AD$200,A46))</f>
        <v/>
      </c>
      <c r="N46" s="36" t="str">
        <f>IF(A46="","",INDEX('Registro Incidencias'!AE$5:AE$200,A46))</f>
        <v/>
      </c>
      <c r="O46" s="33" t="str">
        <f>IF(A46="","",INDEX('Registro Incidencias'!AK$5:AK$200,A46))</f>
        <v/>
      </c>
      <c r="P46" s="63" t="str">
        <f>IF(A46="","",INDEX('Registro Incidencias'!AU$5:AU$200,A46))</f>
        <v/>
      </c>
      <c r="Q46" s="32" t="str">
        <f>IF(A46="","",INDEX('Registro Incidencias'!AV$5:AV$200,A46))</f>
        <v/>
      </c>
      <c r="R46" s="32"/>
      <c r="S46" s="32"/>
    </row>
    <row r="47" spans="1:19" ht="15" customHeight="1" x14ac:dyDescent="0.25">
      <c r="A47" s="25" t="str">
        <f>IFERROR(MATCH(1,INDEX(('Registro Incidencias'!AX$5:AX$200="Juan Luis"&amp;TEXT('📅 Semana'!B$11,"YYYYMMDD"))*('Registro Incidencias'!AY$5:AY$200=3),),0),"")</f>
        <v/>
      </c>
      <c r="B47" s="62" t="str">
        <f>IF(A47="","",INDEX('Registro Incidencias'!U$5:U$200,A47))</f>
        <v/>
      </c>
      <c r="C47" s="22" t="str">
        <f>IF(A47="","",INDEX('Registro Incidencias'!L$5:L$200,A47))</f>
        <v/>
      </c>
      <c r="D47" s="22" t="str">
        <f>IF(A47="","",INDEX('Registro Incidencias'!A$5:A$200,A47))</f>
        <v/>
      </c>
      <c r="E47" s="22" t="str">
        <f>IF(A47="","",INDEX('Registro Incidencias'!D$5:D$200,A47))</f>
        <v/>
      </c>
      <c r="F47" s="25" t="str">
        <f>IF(A47="","",INDEX('Registro Incidencias'!F$5:F$200,A47))</f>
        <v/>
      </c>
      <c r="G47" s="25" t="str">
        <f>IF(A47="","",INDEX('Registro Incidencias'!G$5:G$200,A47))</f>
        <v/>
      </c>
      <c r="H47" s="25" t="str">
        <f>IF(A47="","",INDEX('Registro Incidencias'!H$5:H$200,A47))</f>
        <v/>
      </c>
      <c r="I47" s="25" t="str">
        <f>IF(A47="","",INDEX('Registro Incidencias'!O$5:O$200,A47))</f>
        <v/>
      </c>
      <c r="J47" s="25" t="str">
        <f>IF(A47="","",INDEX('Registro Incidencias'!R$5:R$200,A47))</f>
        <v/>
      </c>
      <c r="K47" s="25" t="str">
        <f>IF(A47="","",INDEX('Registro Incidencias'!AF$5:AF$200,A47))</f>
        <v/>
      </c>
      <c r="L47" s="28" t="str">
        <f>IF(A47="","",INDEX('Registro Incidencias'!AI$5:AI$200,A47))</f>
        <v/>
      </c>
      <c r="M47" s="22" t="str">
        <f>IF(A47="","",INDEX('Registro Incidencias'!AD$5:AD$200,A47))</f>
        <v/>
      </c>
      <c r="N47" s="25" t="str">
        <f>IF(A47="","",INDEX('Registro Incidencias'!AE$5:AE$200,A47))</f>
        <v/>
      </c>
      <c r="O47" s="22" t="str">
        <f>IF(A47="","",INDEX('Registro Incidencias'!AK$5:AK$200,A47))</f>
        <v/>
      </c>
      <c r="P47" s="63" t="str">
        <f>IF(A47="","",INDEX('Registro Incidencias'!AU$5:AU$200,A47))</f>
        <v/>
      </c>
      <c r="Q47" s="32" t="str">
        <f>IF(A47="","",INDEX('Registro Incidencias'!AV$5:AV$200,A47))</f>
        <v/>
      </c>
      <c r="R47" s="32"/>
      <c r="S47" s="32"/>
    </row>
    <row r="48" spans="1:19" ht="15" customHeight="1" x14ac:dyDescent="0.25">
      <c r="A48" s="36" t="str">
        <f>IFERROR(MATCH(1,INDEX(('Registro Incidencias'!AX$5:AX$200="Juan Luis"&amp;TEXT('📅 Semana'!B$11,"YYYYMMDD"))*('Registro Incidencias'!AY$5:AY$200=4),),0),"")</f>
        <v/>
      </c>
      <c r="B48" s="64" t="str">
        <f>IF(A48="","",INDEX('Registro Incidencias'!U$5:U$200,A48))</f>
        <v/>
      </c>
      <c r="C48" s="33" t="str">
        <f>IF(A48="","",INDEX('Registro Incidencias'!L$5:L$200,A48))</f>
        <v/>
      </c>
      <c r="D48" s="33" t="str">
        <f>IF(A48="","",INDEX('Registro Incidencias'!A$5:A$200,A48))</f>
        <v/>
      </c>
      <c r="E48" s="33" t="str">
        <f>IF(A48="","",INDEX('Registro Incidencias'!D$5:D$200,A48))</f>
        <v/>
      </c>
      <c r="F48" s="36" t="str">
        <f>IF(A48="","",INDEX('Registro Incidencias'!F$5:F$200,A48))</f>
        <v/>
      </c>
      <c r="G48" s="36" t="str">
        <f>IF(A48="","",INDEX('Registro Incidencias'!G$5:G$200,A48))</f>
        <v/>
      </c>
      <c r="H48" s="36" t="str">
        <f>IF(A48="","",INDEX('Registro Incidencias'!H$5:H$200,A48))</f>
        <v/>
      </c>
      <c r="I48" s="36" t="str">
        <f>IF(A48="","",INDEX('Registro Incidencias'!O$5:O$200,A48))</f>
        <v/>
      </c>
      <c r="J48" s="36" t="str">
        <f>IF(A48="","",INDEX('Registro Incidencias'!R$5:R$200,A48))</f>
        <v/>
      </c>
      <c r="K48" s="36" t="str">
        <f>IF(A48="","",INDEX('Registro Incidencias'!AF$5:AF$200,A48))</f>
        <v/>
      </c>
      <c r="L48" s="39" t="str">
        <f>IF(A48="","",INDEX('Registro Incidencias'!AI$5:AI$200,A48))</f>
        <v/>
      </c>
      <c r="M48" s="33" t="str">
        <f>IF(A48="","",INDEX('Registro Incidencias'!AD$5:AD$200,A48))</f>
        <v/>
      </c>
      <c r="N48" s="36" t="str">
        <f>IF(A48="","",INDEX('Registro Incidencias'!AE$5:AE$200,A48))</f>
        <v/>
      </c>
      <c r="O48" s="33" t="str">
        <f>IF(A48="","",INDEX('Registro Incidencias'!AK$5:AK$200,A48))</f>
        <v/>
      </c>
      <c r="P48" s="63" t="str">
        <f>IF(A48="","",INDEX('Registro Incidencias'!AU$5:AU$200,A48))</f>
        <v/>
      </c>
      <c r="Q48" s="32" t="str">
        <f>IF(A48="","",INDEX('Registro Incidencias'!AV$5:AV$200,A48))</f>
        <v/>
      </c>
      <c r="R48" s="32"/>
      <c r="S48" s="32"/>
    </row>
    <row r="49" spans="1:19" ht="15" customHeight="1" x14ac:dyDescent="0.25">
      <c r="A49" s="25" t="str">
        <f>IFERROR(MATCH(1,INDEX(('Registro Incidencias'!AX$5:AX$200="Juan Luis"&amp;TEXT('📅 Semana'!B$11,"YYYYMMDD"))*('Registro Incidencias'!AY$5:AY$200=5),),0),"")</f>
        <v/>
      </c>
      <c r="B49" s="62" t="str">
        <f>IF(A49="","",INDEX('Registro Incidencias'!U$5:U$200,A49))</f>
        <v/>
      </c>
      <c r="C49" s="22" t="str">
        <f>IF(A49="","",INDEX('Registro Incidencias'!L$5:L$200,A49))</f>
        <v/>
      </c>
      <c r="D49" s="22" t="str">
        <f>IF(A49="","",INDEX('Registro Incidencias'!A$5:A$200,A49))</f>
        <v/>
      </c>
      <c r="E49" s="22" t="str">
        <f>IF(A49="","",INDEX('Registro Incidencias'!D$5:D$200,A49))</f>
        <v/>
      </c>
      <c r="F49" s="25" t="str">
        <f>IF(A49="","",INDEX('Registro Incidencias'!F$5:F$200,A49))</f>
        <v/>
      </c>
      <c r="G49" s="25" t="str">
        <f>IF(A49="","",INDEX('Registro Incidencias'!G$5:G$200,A49))</f>
        <v/>
      </c>
      <c r="H49" s="25" t="str">
        <f>IF(A49="","",INDEX('Registro Incidencias'!H$5:H$200,A49))</f>
        <v/>
      </c>
      <c r="I49" s="25" t="str">
        <f>IF(A49="","",INDEX('Registro Incidencias'!O$5:O$200,A49))</f>
        <v/>
      </c>
      <c r="J49" s="25" t="str">
        <f>IF(A49="","",INDEX('Registro Incidencias'!R$5:R$200,A49))</f>
        <v/>
      </c>
      <c r="K49" s="25" t="str">
        <f>IF(A49="","",INDEX('Registro Incidencias'!AF$5:AF$200,A49))</f>
        <v/>
      </c>
      <c r="L49" s="28" t="str">
        <f>IF(A49="","",INDEX('Registro Incidencias'!AI$5:AI$200,A49))</f>
        <v/>
      </c>
      <c r="M49" s="22" t="str">
        <f>IF(A49="","",INDEX('Registro Incidencias'!AD$5:AD$200,A49))</f>
        <v/>
      </c>
      <c r="N49" s="25" t="str">
        <f>IF(A49="","",INDEX('Registro Incidencias'!AE$5:AE$200,A49))</f>
        <v/>
      </c>
      <c r="O49" s="22" t="str">
        <f>IF(A49="","",INDEX('Registro Incidencias'!AK$5:AK$200,A49))</f>
        <v/>
      </c>
      <c r="P49" s="63" t="str">
        <f>IF(A49="","",INDEX('Registro Incidencias'!AU$5:AU$200,A49))</f>
        <v/>
      </c>
      <c r="Q49" s="32" t="str">
        <f>IF(A49="","",INDEX('Registro Incidencias'!AV$5:AV$200,A49))</f>
        <v/>
      </c>
      <c r="R49" s="32"/>
      <c r="S49" s="32"/>
    </row>
    <row r="50" spans="1:19" ht="15" customHeight="1" x14ac:dyDescent="0.25">
      <c r="A50" s="36" t="str">
        <f>IFERROR(MATCH(1,INDEX(('Registro Incidencias'!AX$5:AX$200="Juan Luis"&amp;TEXT('📅 Semana'!B$11,"YYYYMMDD"))*('Registro Incidencias'!AY$5:AY$200=6),),0),"")</f>
        <v/>
      </c>
      <c r="B50" s="64" t="str">
        <f>IF(A50="","",INDEX('Registro Incidencias'!U$5:U$200,A50))</f>
        <v/>
      </c>
      <c r="C50" s="33" t="str">
        <f>IF(A50="","",INDEX('Registro Incidencias'!L$5:L$200,A50))</f>
        <v/>
      </c>
      <c r="D50" s="33" t="str">
        <f>IF(A50="","",INDEX('Registro Incidencias'!A$5:A$200,A50))</f>
        <v/>
      </c>
      <c r="E50" s="33" t="str">
        <f>IF(A50="","",INDEX('Registro Incidencias'!D$5:D$200,A50))</f>
        <v/>
      </c>
      <c r="F50" s="36" t="str">
        <f>IF(A50="","",INDEX('Registro Incidencias'!F$5:F$200,A50))</f>
        <v/>
      </c>
      <c r="G50" s="36" t="str">
        <f>IF(A50="","",INDEX('Registro Incidencias'!G$5:G$200,A50))</f>
        <v/>
      </c>
      <c r="H50" s="36" t="str">
        <f>IF(A50="","",INDEX('Registro Incidencias'!H$5:H$200,A50))</f>
        <v/>
      </c>
      <c r="I50" s="36" t="str">
        <f>IF(A50="","",INDEX('Registro Incidencias'!O$5:O$200,A50))</f>
        <v/>
      </c>
      <c r="J50" s="36" t="str">
        <f>IF(A50="","",INDEX('Registro Incidencias'!R$5:R$200,A50))</f>
        <v/>
      </c>
      <c r="K50" s="36" t="str">
        <f>IF(A50="","",INDEX('Registro Incidencias'!AF$5:AF$200,A50))</f>
        <v/>
      </c>
      <c r="L50" s="39" t="str">
        <f>IF(A50="","",INDEX('Registro Incidencias'!AI$5:AI$200,A50))</f>
        <v/>
      </c>
      <c r="M50" s="33" t="str">
        <f>IF(A50="","",INDEX('Registro Incidencias'!AD$5:AD$200,A50))</f>
        <v/>
      </c>
      <c r="N50" s="36" t="str">
        <f>IF(A50="","",INDEX('Registro Incidencias'!AE$5:AE$200,A50))</f>
        <v/>
      </c>
      <c r="O50" s="33" t="str">
        <f>IF(A50="","",INDEX('Registro Incidencias'!AK$5:AK$200,A50))</f>
        <v/>
      </c>
      <c r="P50" s="63" t="str">
        <f>IF(A50="","",INDEX('Registro Incidencias'!AU$5:AU$200,A50))</f>
        <v/>
      </c>
      <c r="Q50" s="32" t="str">
        <f>IF(A50="","",INDEX('Registro Incidencias'!AV$5:AV$200,A50))</f>
        <v/>
      </c>
      <c r="R50" s="32"/>
      <c r="S50" s="32"/>
    </row>
    <row r="51" spans="1:19" ht="21.75" customHeight="1" x14ac:dyDescent="0.25">
      <c r="A51" s="129" t="str">
        <f>COUNTIFS('Registro Incidencias'!S$5:S$200,"Juan Luis",'Registro Incidencias'!T$5:T$200,'📅 Semana'!B$11)&amp;" averías"</f>
        <v>0 averías</v>
      </c>
      <c r="B51" s="129"/>
      <c r="C51" s="129"/>
      <c r="D51" s="129"/>
      <c r="E51" s="129"/>
      <c r="F51" s="129"/>
      <c r="G51" s="129"/>
      <c r="H51" s="129"/>
      <c r="I51" s="129"/>
      <c r="J51" s="2" t="str">
        <f>"Verificadas: "&amp;COUNTIFS(A45:A50,"&lt;&gt;",P45:P50,"&lt;&gt;")&amp;"/"&amp;COUNTIF(A45:A50,"&lt;&gt;")</f>
        <v>Verificadas: 6/6</v>
      </c>
      <c r="K51" s="2"/>
      <c r="L51" s="2"/>
      <c r="M51" s="2"/>
      <c r="N51" s="2"/>
      <c r="O51" s="2"/>
      <c r="P51" s="2"/>
    </row>
    <row r="53" spans="1:19" ht="30" customHeight="1" x14ac:dyDescent="0.25">
      <c r="A53" s="130" t="str">
        <f>TEXT('📅 Semana'!B$12,"DDDD")&amp;"  —  "&amp;TEXT('📅 Semana'!B$12,"DD/MM/")&amp;"2026"</f>
        <v>sábado  —  21/02/2026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</row>
    <row r="54" spans="1:19" ht="30" customHeight="1" x14ac:dyDescent="0.25">
      <c r="A54" s="69" t="s">
        <v>85</v>
      </c>
      <c r="B54" s="69" t="s">
        <v>86</v>
      </c>
      <c r="C54" s="69" t="s">
        <v>18</v>
      </c>
      <c r="D54" s="69" t="s">
        <v>87</v>
      </c>
      <c r="E54" s="69" t="s">
        <v>88</v>
      </c>
      <c r="F54" s="69" t="s">
        <v>89</v>
      </c>
      <c r="G54" s="69" t="s">
        <v>13</v>
      </c>
      <c r="H54" s="69" t="s">
        <v>14</v>
      </c>
      <c r="I54" s="69" t="s">
        <v>90</v>
      </c>
      <c r="J54" s="69" t="s">
        <v>91</v>
      </c>
      <c r="K54" s="69" t="s">
        <v>92</v>
      </c>
      <c r="L54" s="69" t="s">
        <v>93</v>
      </c>
      <c r="M54" s="69" t="s">
        <v>94</v>
      </c>
      <c r="N54" s="69" t="s">
        <v>37</v>
      </c>
      <c r="O54" s="69" t="s">
        <v>43</v>
      </c>
      <c r="P54" s="61" t="s">
        <v>95</v>
      </c>
      <c r="Q54" s="61" t="s">
        <v>96</v>
      </c>
      <c r="R54" s="61" t="s">
        <v>97</v>
      </c>
      <c r="S54" s="61" t="s">
        <v>98</v>
      </c>
    </row>
    <row r="55" spans="1:19" ht="15" customHeight="1" x14ac:dyDescent="0.25">
      <c r="A55" s="25" t="str">
        <f>IFERROR(MATCH(1,INDEX(('Registro Incidencias'!AX$5:AX$200="Juan Luis"&amp;TEXT('📅 Semana'!B$12,"YYYYMMDD"))*('Registro Incidencias'!AY$5:AY$200=1),),0),"")</f>
        <v/>
      </c>
      <c r="B55" s="62" t="str">
        <f>IF(A55="","",INDEX('Registro Incidencias'!U$5:U$200,A55))</f>
        <v/>
      </c>
      <c r="C55" s="22" t="str">
        <f>IF(A55="","",INDEX('Registro Incidencias'!L$5:L$200,A55))</f>
        <v/>
      </c>
      <c r="D55" s="22" t="str">
        <f>IF(A55="","",INDEX('Registro Incidencias'!A$5:A$200,A55))</f>
        <v/>
      </c>
      <c r="E55" s="22" t="str">
        <f>IF(A55="","",INDEX('Registro Incidencias'!D$5:D$200,A55))</f>
        <v/>
      </c>
      <c r="F55" s="25" t="str">
        <f>IF(A55="","",INDEX('Registro Incidencias'!F$5:F$200,A55))</f>
        <v/>
      </c>
      <c r="G55" s="25" t="str">
        <f>IF(A55="","",INDEX('Registro Incidencias'!G$5:G$200,A55))</f>
        <v/>
      </c>
      <c r="H55" s="25" t="str">
        <f>IF(A55="","",INDEX('Registro Incidencias'!H$5:H$200,A55))</f>
        <v/>
      </c>
      <c r="I55" s="25" t="str">
        <f>IF(A55="","",INDEX('Registro Incidencias'!O$5:O$200,A55))</f>
        <v/>
      </c>
      <c r="J55" s="25" t="str">
        <f>IF(A55="","",INDEX('Registro Incidencias'!R$5:R$200,A55))</f>
        <v/>
      </c>
      <c r="K55" s="25" t="str">
        <f>IF(A55="","",INDEX('Registro Incidencias'!AF$5:AF$200,A55))</f>
        <v/>
      </c>
      <c r="L55" s="28" t="str">
        <f>IF(A55="","",INDEX('Registro Incidencias'!AI$5:AI$200,A55))</f>
        <v/>
      </c>
      <c r="M55" s="22" t="str">
        <f>IF(A55="","",INDEX('Registro Incidencias'!AD$5:AD$200,A55))</f>
        <v/>
      </c>
      <c r="N55" s="25" t="str">
        <f>IF(A55="","",INDEX('Registro Incidencias'!AE$5:AE$200,A55))</f>
        <v/>
      </c>
      <c r="O55" s="22" t="str">
        <f>IF(A55="","",INDEX('Registro Incidencias'!AK$5:AK$200,A55))</f>
        <v/>
      </c>
      <c r="P55" s="63" t="str">
        <f>IF(A55="","",INDEX('Registro Incidencias'!AU$5:AU$200,A55))</f>
        <v/>
      </c>
      <c r="Q55" s="32" t="str">
        <f>IF(A55="","",INDEX('Registro Incidencias'!AV$5:AV$200,A55))</f>
        <v/>
      </c>
      <c r="R55" s="32"/>
      <c r="S55" s="32"/>
    </row>
    <row r="56" spans="1:19" ht="15" customHeight="1" x14ac:dyDescent="0.25">
      <c r="A56" s="36" t="str">
        <f>IFERROR(MATCH(1,INDEX(('Registro Incidencias'!AX$5:AX$200="Juan Luis"&amp;TEXT('📅 Semana'!B$12,"YYYYMMDD"))*('Registro Incidencias'!AY$5:AY$200=2),),0),"")</f>
        <v/>
      </c>
      <c r="B56" s="64" t="str">
        <f>IF(A56="","",INDEX('Registro Incidencias'!U$5:U$200,A56))</f>
        <v/>
      </c>
      <c r="C56" s="33" t="str">
        <f>IF(A56="","",INDEX('Registro Incidencias'!L$5:L$200,A56))</f>
        <v/>
      </c>
      <c r="D56" s="33" t="str">
        <f>IF(A56="","",INDEX('Registro Incidencias'!A$5:A$200,A56))</f>
        <v/>
      </c>
      <c r="E56" s="33" t="str">
        <f>IF(A56="","",INDEX('Registro Incidencias'!D$5:D$200,A56))</f>
        <v/>
      </c>
      <c r="F56" s="36" t="str">
        <f>IF(A56="","",INDEX('Registro Incidencias'!F$5:F$200,A56))</f>
        <v/>
      </c>
      <c r="G56" s="36" t="str">
        <f>IF(A56="","",INDEX('Registro Incidencias'!G$5:G$200,A56))</f>
        <v/>
      </c>
      <c r="H56" s="36" t="str">
        <f>IF(A56="","",INDEX('Registro Incidencias'!H$5:H$200,A56))</f>
        <v/>
      </c>
      <c r="I56" s="36" t="str">
        <f>IF(A56="","",INDEX('Registro Incidencias'!O$5:O$200,A56))</f>
        <v/>
      </c>
      <c r="J56" s="36" t="str">
        <f>IF(A56="","",INDEX('Registro Incidencias'!R$5:R$200,A56))</f>
        <v/>
      </c>
      <c r="K56" s="36" t="str">
        <f>IF(A56="","",INDEX('Registro Incidencias'!AF$5:AF$200,A56))</f>
        <v/>
      </c>
      <c r="L56" s="39" t="str">
        <f>IF(A56="","",INDEX('Registro Incidencias'!AI$5:AI$200,A56))</f>
        <v/>
      </c>
      <c r="M56" s="33" t="str">
        <f>IF(A56="","",INDEX('Registro Incidencias'!AD$5:AD$200,A56))</f>
        <v/>
      </c>
      <c r="N56" s="36" t="str">
        <f>IF(A56="","",INDEX('Registro Incidencias'!AE$5:AE$200,A56))</f>
        <v/>
      </c>
      <c r="O56" s="33" t="str">
        <f>IF(A56="","",INDEX('Registro Incidencias'!AK$5:AK$200,A56))</f>
        <v/>
      </c>
      <c r="P56" s="63" t="str">
        <f>IF(A56="","",INDEX('Registro Incidencias'!AU$5:AU$200,A56))</f>
        <v/>
      </c>
      <c r="Q56" s="32" t="str">
        <f>IF(A56="","",INDEX('Registro Incidencias'!AV$5:AV$200,A56))</f>
        <v/>
      </c>
      <c r="R56" s="32"/>
      <c r="S56" s="32"/>
    </row>
    <row r="57" spans="1:19" ht="15" customHeight="1" x14ac:dyDescent="0.25">
      <c r="A57" s="25" t="str">
        <f>IFERROR(MATCH(1,INDEX(('Registro Incidencias'!AX$5:AX$200="Juan Luis"&amp;TEXT('📅 Semana'!B$12,"YYYYMMDD"))*('Registro Incidencias'!AY$5:AY$200=3),),0),"")</f>
        <v/>
      </c>
      <c r="B57" s="62" t="str">
        <f>IF(A57="","",INDEX('Registro Incidencias'!U$5:U$200,A57))</f>
        <v/>
      </c>
      <c r="C57" s="22" t="str">
        <f>IF(A57="","",INDEX('Registro Incidencias'!L$5:L$200,A57))</f>
        <v/>
      </c>
      <c r="D57" s="22" t="str">
        <f>IF(A57="","",INDEX('Registro Incidencias'!A$5:A$200,A57))</f>
        <v/>
      </c>
      <c r="E57" s="22" t="str">
        <f>IF(A57="","",INDEX('Registro Incidencias'!D$5:D$200,A57))</f>
        <v/>
      </c>
      <c r="F57" s="25" t="str">
        <f>IF(A57="","",INDEX('Registro Incidencias'!F$5:F$200,A57))</f>
        <v/>
      </c>
      <c r="G57" s="25" t="str">
        <f>IF(A57="","",INDEX('Registro Incidencias'!G$5:G$200,A57))</f>
        <v/>
      </c>
      <c r="H57" s="25" t="str">
        <f>IF(A57="","",INDEX('Registro Incidencias'!H$5:H$200,A57))</f>
        <v/>
      </c>
      <c r="I57" s="25" t="str">
        <f>IF(A57="","",INDEX('Registro Incidencias'!O$5:O$200,A57))</f>
        <v/>
      </c>
      <c r="J57" s="25" t="str">
        <f>IF(A57="","",INDEX('Registro Incidencias'!R$5:R$200,A57))</f>
        <v/>
      </c>
      <c r="K57" s="25" t="str">
        <f>IF(A57="","",INDEX('Registro Incidencias'!AF$5:AF$200,A57))</f>
        <v/>
      </c>
      <c r="L57" s="28" t="str">
        <f>IF(A57="","",INDEX('Registro Incidencias'!AI$5:AI$200,A57))</f>
        <v/>
      </c>
      <c r="M57" s="22" t="str">
        <f>IF(A57="","",INDEX('Registro Incidencias'!AD$5:AD$200,A57))</f>
        <v/>
      </c>
      <c r="N57" s="25" t="str">
        <f>IF(A57="","",INDEX('Registro Incidencias'!AE$5:AE$200,A57))</f>
        <v/>
      </c>
      <c r="O57" s="22" t="str">
        <f>IF(A57="","",INDEX('Registro Incidencias'!AK$5:AK$200,A57))</f>
        <v/>
      </c>
      <c r="P57" s="63" t="str">
        <f>IF(A57="","",INDEX('Registro Incidencias'!AU$5:AU$200,A57))</f>
        <v/>
      </c>
      <c r="Q57" s="32" t="str">
        <f>IF(A57="","",INDEX('Registro Incidencias'!AV$5:AV$200,A57))</f>
        <v/>
      </c>
      <c r="R57" s="32"/>
      <c r="S57" s="32"/>
    </row>
    <row r="58" spans="1:19" ht="15" customHeight="1" x14ac:dyDescent="0.25">
      <c r="A58" s="36" t="str">
        <f>IFERROR(MATCH(1,INDEX(('Registro Incidencias'!AX$5:AX$200="Juan Luis"&amp;TEXT('📅 Semana'!B$12,"YYYYMMDD"))*('Registro Incidencias'!AY$5:AY$200=4),),0),"")</f>
        <v/>
      </c>
      <c r="B58" s="64" t="str">
        <f>IF(A58="","",INDEX('Registro Incidencias'!U$5:U$200,A58))</f>
        <v/>
      </c>
      <c r="C58" s="33" t="str">
        <f>IF(A58="","",INDEX('Registro Incidencias'!L$5:L$200,A58))</f>
        <v/>
      </c>
      <c r="D58" s="33" t="str">
        <f>IF(A58="","",INDEX('Registro Incidencias'!A$5:A$200,A58))</f>
        <v/>
      </c>
      <c r="E58" s="33" t="str">
        <f>IF(A58="","",INDEX('Registro Incidencias'!D$5:D$200,A58))</f>
        <v/>
      </c>
      <c r="F58" s="36" t="str">
        <f>IF(A58="","",INDEX('Registro Incidencias'!F$5:F$200,A58))</f>
        <v/>
      </c>
      <c r="G58" s="36" t="str">
        <f>IF(A58="","",INDEX('Registro Incidencias'!G$5:G$200,A58))</f>
        <v/>
      </c>
      <c r="H58" s="36" t="str">
        <f>IF(A58="","",INDEX('Registro Incidencias'!H$5:H$200,A58))</f>
        <v/>
      </c>
      <c r="I58" s="36" t="str">
        <f>IF(A58="","",INDEX('Registro Incidencias'!O$5:O$200,A58))</f>
        <v/>
      </c>
      <c r="J58" s="36" t="str">
        <f>IF(A58="","",INDEX('Registro Incidencias'!R$5:R$200,A58))</f>
        <v/>
      </c>
      <c r="K58" s="36" t="str">
        <f>IF(A58="","",INDEX('Registro Incidencias'!AF$5:AF$200,A58))</f>
        <v/>
      </c>
      <c r="L58" s="39" t="str">
        <f>IF(A58="","",INDEX('Registro Incidencias'!AI$5:AI$200,A58))</f>
        <v/>
      </c>
      <c r="M58" s="33" t="str">
        <f>IF(A58="","",INDEX('Registro Incidencias'!AD$5:AD$200,A58))</f>
        <v/>
      </c>
      <c r="N58" s="36" t="str">
        <f>IF(A58="","",INDEX('Registro Incidencias'!AE$5:AE$200,A58))</f>
        <v/>
      </c>
      <c r="O58" s="33" t="str">
        <f>IF(A58="","",INDEX('Registro Incidencias'!AK$5:AK$200,A58))</f>
        <v/>
      </c>
      <c r="P58" s="63" t="str">
        <f>IF(A58="","",INDEX('Registro Incidencias'!AU$5:AU$200,A58))</f>
        <v/>
      </c>
      <c r="Q58" s="32" t="str">
        <f>IF(A58="","",INDEX('Registro Incidencias'!AV$5:AV$200,A58))</f>
        <v/>
      </c>
      <c r="R58" s="32"/>
      <c r="S58" s="32"/>
    </row>
    <row r="59" spans="1:19" ht="15" customHeight="1" x14ac:dyDescent="0.25">
      <c r="A59" s="25" t="str">
        <f>IFERROR(MATCH(1,INDEX(('Registro Incidencias'!AX$5:AX$200="Juan Luis"&amp;TEXT('📅 Semana'!B$12,"YYYYMMDD"))*('Registro Incidencias'!AY$5:AY$200=5),),0),"")</f>
        <v/>
      </c>
      <c r="B59" s="62" t="str">
        <f>IF(A59="","",INDEX('Registro Incidencias'!U$5:U$200,A59))</f>
        <v/>
      </c>
      <c r="C59" s="22" t="str">
        <f>IF(A59="","",INDEX('Registro Incidencias'!L$5:L$200,A59))</f>
        <v/>
      </c>
      <c r="D59" s="22" t="str">
        <f>IF(A59="","",INDEX('Registro Incidencias'!A$5:A$200,A59))</f>
        <v/>
      </c>
      <c r="E59" s="22" t="str">
        <f>IF(A59="","",INDEX('Registro Incidencias'!D$5:D$200,A59))</f>
        <v/>
      </c>
      <c r="F59" s="25" t="str">
        <f>IF(A59="","",INDEX('Registro Incidencias'!F$5:F$200,A59))</f>
        <v/>
      </c>
      <c r="G59" s="25" t="str">
        <f>IF(A59="","",INDEX('Registro Incidencias'!G$5:G$200,A59))</f>
        <v/>
      </c>
      <c r="H59" s="25" t="str">
        <f>IF(A59="","",INDEX('Registro Incidencias'!H$5:H$200,A59))</f>
        <v/>
      </c>
      <c r="I59" s="25" t="str">
        <f>IF(A59="","",INDEX('Registro Incidencias'!O$5:O$200,A59))</f>
        <v/>
      </c>
      <c r="J59" s="25" t="str">
        <f>IF(A59="","",INDEX('Registro Incidencias'!R$5:R$200,A59))</f>
        <v/>
      </c>
      <c r="K59" s="25" t="str">
        <f>IF(A59="","",INDEX('Registro Incidencias'!AF$5:AF$200,A59))</f>
        <v/>
      </c>
      <c r="L59" s="28" t="str">
        <f>IF(A59="","",INDEX('Registro Incidencias'!AI$5:AI$200,A59))</f>
        <v/>
      </c>
      <c r="M59" s="22" t="str">
        <f>IF(A59="","",INDEX('Registro Incidencias'!AD$5:AD$200,A59))</f>
        <v/>
      </c>
      <c r="N59" s="25" t="str">
        <f>IF(A59="","",INDEX('Registro Incidencias'!AE$5:AE$200,A59))</f>
        <v/>
      </c>
      <c r="O59" s="22" t="str">
        <f>IF(A59="","",INDEX('Registro Incidencias'!AK$5:AK$200,A59))</f>
        <v/>
      </c>
      <c r="P59" s="63" t="str">
        <f>IF(A59="","",INDEX('Registro Incidencias'!AU$5:AU$200,A59))</f>
        <v/>
      </c>
      <c r="Q59" s="32" t="str">
        <f>IF(A59="","",INDEX('Registro Incidencias'!AV$5:AV$200,A59))</f>
        <v/>
      </c>
      <c r="R59" s="32"/>
      <c r="S59" s="32"/>
    </row>
    <row r="60" spans="1:19" ht="15" customHeight="1" x14ac:dyDescent="0.25">
      <c r="A60" s="36" t="str">
        <f>IFERROR(MATCH(1,INDEX(('Registro Incidencias'!AX$5:AX$200="Juan Luis"&amp;TEXT('📅 Semana'!B$12,"YYYYMMDD"))*('Registro Incidencias'!AY$5:AY$200=6),),0),"")</f>
        <v/>
      </c>
      <c r="B60" s="64" t="str">
        <f>IF(A60="","",INDEX('Registro Incidencias'!U$5:U$200,A60))</f>
        <v/>
      </c>
      <c r="C60" s="33" t="str">
        <f>IF(A60="","",INDEX('Registro Incidencias'!L$5:L$200,A60))</f>
        <v/>
      </c>
      <c r="D60" s="33" t="str">
        <f>IF(A60="","",INDEX('Registro Incidencias'!A$5:A$200,A60))</f>
        <v/>
      </c>
      <c r="E60" s="33" t="str">
        <f>IF(A60="","",INDEX('Registro Incidencias'!D$5:D$200,A60))</f>
        <v/>
      </c>
      <c r="F60" s="36" t="str">
        <f>IF(A60="","",INDEX('Registro Incidencias'!F$5:F$200,A60))</f>
        <v/>
      </c>
      <c r="G60" s="36" t="str">
        <f>IF(A60="","",INDEX('Registro Incidencias'!G$5:G$200,A60))</f>
        <v/>
      </c>
      <c r="H60" s="36" t="str">
        <f>IF(A60="","",INDEX('Registro Incidencias'!H$5:H$200,A60))</f>
        <v/>
      </c>
      <c r="I60" s="36" t="str">
        <f>IF(A60="","",INDEX('Registro Incidencias'!O$5:O$200,A60))</f>
        <v/>
      </c>
      <c r="J60" s="36" t="str">
        <f>IF(A60="","",INDEX('Registro Incidencias'!R$5:R$200,A60))</f>
        <v/>
      </c>
      <c r="K60" s="36" t="str">
        <f>IF(A60="","",INDEX('Registro Incidencias'!AF$5:AF$200,A60))</f>
        <v/>
      </c>
      <c r="L60" s="39" t="str">
        <f>IF(A60="","",INDEX('Registro Incidencias'!AI$5:AI$200,A60))</f>
        <v/>
      </c>
      <c r="M60" s="33" t="str">
        <f>IF(A60="","",INDEX('Registro Incidencias'!AD$5:AD$200,A60))</f>
        <v/>
      </c>
      <c r="N60" s="36" t="str">
        <f>IF(A60="","",INDEX('Registro Incidencias'!AE$5:AE$200,A60))</f>
        <v/>
      </c>
      <c r="O60" s="33" t="str">
        <f>IF(A60="","",INDEX('Registro Incidencias'!AK$5:AK$200,A60))</f>
        <v/>
      </c>
      <c r="P60" s="63" t="str">
        <f>IF(A60="","",INDEX('Registro Incidencias'!AU$5:AU$200,A60))</f>
        <v/>
      </c>
      <c r="Q60" s="32" t="str">
        <f>IF(A60="","",INDEX('Registro Incidencias'!AV$5:AV$200,A60))</f>
        <v/>
      </c>
      <c r="R60" s="32"/>
      <c r="S60" s="32"/>
    </row>
    <row r="61" spans="1:19" ht="21.75" customHeight="1" x14ac:dyDescent="0.25">
      <c r="A61" s="131" t="str">
        <f>COUNTIFS('Registro Incidencias'!S$5:S$200,"Juan Luis",'Registro Incidencias'!T$5:T$200,'📅 Semana'!B$12)&amp;" averías"</f>
        <v>0 averías</v>
      </c>
      <c r="B61" s="131"/>
      <c r="C61" s="131"/>
      <c r="D61" s="131"/>
      <c r="E61" s="131"/>
      <c r="F61" s="131"/>
      <c r="G61" s="131"/>
      <c r="H61" s="131"/>
      <c r="I61" s="131"/>
      <c r="J61" s="2" t="str">
        <f>"Verificadas: "&amp;COUNTIFS(A55:A60,"&lt;&gt;",P55:P60,"&lt;&gt;")&amp;"/"&amp;COUNTIF(A55:A60,"&lt;&gt;")</f>
        <v>Verificadas: 6/6</v>
      </c>
      <c r="K61" s="2"/>
      <c r="L61" s="2"/>
      <c r="M61" s="2"/>
      <c r="N61" s="2"/>
      <c r="O61" s="2"/>
      <c r="P61" s="2"/>
    </row>
    <row r="63" spans="1:19" ht="30" customHeight="1" x14ac:dyDescent="0.25">
      <c r="A63" s="132" t="str">
        <f>TEXT('📅 Semana'!B$13,"DDDD")&amp;"  —  "&amp;TEXT('📅 Semana'!B$13,"DD/MM/")&amp;"2026"</f>
        <v>domingo  —  22/02/2026</v>
      </c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</row>
    <row r="64" spans="1:19" ht="30" customHeight="1" x14ac:dyDescent="0.25">
      <c r="A64" s="70" t="s">
        <v>85</v>
      </c>
      <c r="B64" s="70" t="s">
        <v>86</v>
      </c>
      <c r="C64" s="70" t="s">
        <v>18</v>
      </c>
      <c r="D64" s="70" t="s">
        <v>87</v>
      </c>
      <c r="E64" s="70" t="s">
        <v>88</v>
      </c>
      <c r="F64" s="70" t="s">
        <v>89</v>
      </c>
      <c r="G64" s="70" t="s">
        <v>13</v>
      </c>
      <c r="H64" s="70" t="s">
        <v>14</v>
      </c>
      <c r="I64" s="70" t="s">
        <v>90</v>
      </c>
      <c r="J64" s="70" t="s">
        <v>91</v>
      </c>
      <c r="K64" s="70" t="s">
        <v>92</v>
      </c>
      <c r="L64" s="70" t="s">
        <v>93</v>
      </c>
      <c r="M64" s="70" t="s">
        <v>94</v>
      </c>
      <c r="N64" s="70" t="s">
        <v>37</v>
      </c>
      <c r="O64" s="70" t="s">
        <v>43</v>
      </c>
      <c r="P64" s="61" t="s">
        <v>95</v>
      </c>
      <c r="Q64" s="61" t="s">
        <v>96</v>
      </c>
      <c r="R64" s="61" t="s">
        <v>97</v>
      </c>
      <c r="S64" s="61" t="s">
        <v>98</v>
      </c>
    </row>
    <row r="65" spans="1:19" ht="15" customHeight="1" x14ac:dyDescent="0.25">
      <c r="A65" s="25" t="str">
        <f>IFERROR(MATCH(1,INDEX(('Registro Incidencias'!AX$5:AX$200="Juan Luis"&amp;TEXT('📅 Semana'!B$13,"YYYYMMDD"))*('Registro Incidencias'!AY$5:AY$200=1),),0),"")</f>
        <v/>
      </c>
      <c r="B65" s="62" t="str">
        <f>IF(A65="","",INDEX('Registro Incidencias'!U$5:U$200,A65))</f>
        <v/>
      </c>
      <c r="C65" s="22" t="str">
        <f>IF(A65="","",INDEX('Registro Incidencias'!L$5:L$200,A65))</f>
        <v/>
      </c>
      <c r="D65" s="22" t="str">
        <f>IF(A65="","",INDEX('Registro Incidencias'!A$5:A$200,A65))</f>
        <v/>
      </c>
      <c r="E65" s="22" t="str">
        <f>IF(A65="","",INDEX('Registro Incidencias'!D$5:D$200,A65))</f>
        <v/>
      </c>
      <c r="F65" s="25" t="str">
        <f>IF(A65="","",INDEX('Registro Incidencias'!F$5:F$200,A65))</f>
        <v/>
      </c>
      <c r="G65" s="25" t="str">
        <f>IF(A65="","",INDEX('Registro Incidencias'!G$5:G$200,A65))</f>
        <v/>
      </c>
      <c r="H65" s="25" t="str">
        <f>IF(A65="","",INDEX('Registro Incidencias'!H$5:H$200,A65))</f>
        <v/>
      </c>
      <c r="I65" s="25" t="str">
        <f>IF(A65="","",INDEX('Registro Incidencias'!O$5:O$200,A65))</f>
        <v/>
      </c>
      <c r="J65" s="25" t="str">
        <f>IF(A65="","",INDEX('Registro Incidencias'!R$5:R$200,A65))</f>
        <v/>
      </c>
      <c r="K65" s="25" t="str">
        <f>IF(A65="","",INDEX('Registro Incidencias'!AF$5:AF$200,A65))</f>
        <v/>
      </c>
      <c r="L65" s="28" t="str">
        <f>IF(A65="","",INDEX('Registro Incidencias'!AI$5:AI$200,A65))</f>
        <v/>
      </c>
      <c r="M65" s="22" t="str">
        <f>IF(A65="","",INDEX('Registro Incidencias'!AD$5:AD$200,A65))</f>
        <v/>
      </c>
      <c r="N65" s="25" t="str">
        <f>IF(A65="","",INDEX('Registro Incidencias'!AE$5:AE$200,A65))</f>
        <v/>
      </c>
      <c r="O65" s="22" t="str">
        <f>IF(A65="","",INDEX('Registro Incidencias'!AK$5:AK$200,A65))</f>
        <v/>
      </c>
      <c r="P65" s="63" t="str">
        <f>IF(A65="","",INDEX('Registro Incidencias'!AU$5:AU$200,A65))</f>
        <v/>
      </c>
      <c r="Q65" s="32" t="str">
        <f>IF(A65="","",INDEX('Registro Incidencias'!AV$5:AV$200,A65))</f>
        <v/>
      </c>
      <c r="R65" s="32"/>
      <c r="S65" s="32"/>
    </row>
    <row r="66" spans="1:19" ht="15" customHeight="1" x14ac:dyDescent="0.25">
      <c r="A66" s="36" t="str">
        <f>IFERROR(MATCH(1,INDEX(('Registro Incidencias'!AX$5:AX$200="Juan Luis"&amp;TEXT('📅 Semana'!B$13,"YYYYMMDD"))*('Registro Incidencias'!AY$5:AY$200=2),),0),"")</f>
        <v/>
      </c>
      <c r="B66" s="64" t="str">
        <f>IF(A66="","",INDEX('Registro Incidencias'!U$5:U$200,A66))</f>
        <v/>
      </c>
      <c r="C66" s="33" t="str">
        <f>IF(A66="","",INDEX('Registro Incidencias'!L$5:L$200,A66))</f>
        <v/>
      </c>
      <c r="D66" s="33" t="str">
        <f>IF(A66="","",INDEX('Registro Incidencias'!A$5:A$200,A66))</f>
        <v/>
      </c>
      <c r="E66" s="33" t="str">
        <f>IF(A66="","",INDEX('Registro Incidencias'!D$5:D$200,A66))</f>
        <v/>
      </c>
      <c r="F66" s="36" t="str">
        <f>IF(A66="","",INDEX('Registro Incidencias'!F$5:F$200,A66))</f>
        <v/>
      </c>
      <c r="G66" s="36" t="str">
        <f>IF(A66="","",INDEX('Registro Incidencias'!G$5:G$200,A66))</f>
        <v/>
      </c>
      <c r="H66" s="36" t="str">
        <f>IF(A66="","",INDEX('Registro Incidencias'!H$5:H$200,A66))</f>
        <v/>
      </c>
      <c r="I66" s="36" t="str">
        <f>IF(A66="","",INDEX('Registro Incidencias'!O$5:O$200,A66))</f>
        <v/>
      </c>
      <c r="J66" s="36" t="str">
        <f>IF(A66="","",INDEX('Registro Incidencias'!R$5:R$200,A66))</f>
        <v/>
      </c>
      <c r="K66" s="36" t="str">
        <f>IF(A66="","",INDEX('Registro Incidencias'!AF$5:AF$200,A66))</f>
        <v/>
      </c>
      <c r="L66" s="39" t="str">
        <f>IF(A66="","",INDEX('Registro Incidencias'!AI$5:AI$200,A66))</f>
        <v/>
      </c>
      <c r="M66" s="33" t="str">
        <f>IF(A66="","",INDEX('Registro Incidencias'!AD$5:AD$200,A66))</f>
        <v/>
      </c>
      <c r="N66" s="36" t="str">
        <f>IF(A66="","",INDEX('Registro Incidencias'!AE$5:AE$200,A66))</f>
        <v/>
      </c>
      <c r="O66" s="33" t="str">
        <f>IF(A66="","",INDEX('Registro Incidencias'!AK$5:AK$200,A66))</f>
        <v/>
      </c>
      <c r="P66" s="63" t="str">
        <f>IF(A66="","",INDEX('Registro Incidencias'!AU$5:AU$200,A66))</f>
        <v/>
      </c>
      <c r="Q66" s="32" t="str">
        <f>IF(A66="","",INDEX('Registro Incidencias'!AV$5:AV$200,A66))</f>
        <v/>
      </c>
      <c r="R66" s="32"/>
      <c r="S66" s="32"/>
    </row>
    <row r="67" spans="1:19" ht="15" customHeight="1" x14ac:dyDescent="0.25">
      <c r="A67" s="25" t="str">
        <f>IFERROR(MATCH(1,INDEX(('Registro Incidencias'!AX$5:AX$200="Juan Luis"&amp;TEXT('📅 Semana'!B$13,"YYYYMMDD"))*('Registro Incidencias'!AY$5:AY$200=3),),0),"")</f>
        <v/>
      </c>
      <c r="B67" s="62" t="str">
        <f>IF(A67="","",INDEX('Registro Incidencias'!U$5:U$200,A67))</f>
        <v/>
      </c>
      <c r="C67" s="22" t="str">
        <f>IF(A67="","",INDEX('Registro Incidencias'!L$5:L$200,A67))</f>
        <v/>
      </c>
      <c r="D67" s="22" t="str">
        <f>IF(A67="","",INDEX('Registro Incidencias'!A$5:A$200,A67))</f>
        <v/>
      </c>
      <c r="E67" s="22" t="str">
        <f>IF(A67="","",INDEX('Registro Incidencias'!D$5:D$200,A67))</f>
        <v/>
      </c>
      <c r="F67" s="25" t="str">
        <f>IF(A67="","",INDEX('Registro Incidencias'!F$5:F$200,A67))</f>
        <v/>
      </c>
      <c r="G67" s="25" t="str">
        <f>IF(A67="","",INDEX('Registro Incidencias'!G$5:G$200,A67))</f>
        <v/>
      </c>
      <c r="H67" s="25" t="str">
        <f>IF(A67="","",INDEX('Registro Incidencias'!H$5:H$200,A67))</f>
        <v/>
      </c>
      <c r="I67" s="25" t="str">
        <f>IF(A67="","",INDEX('Registro Incidencias'!O$5:O$200,A67))</f>
        <v/>
      </c>
      <c r="J67" s="25" t="str">
        <f>IF(A67="","",INDEX('Registro Incidencias'!R$5:R$200,A67))</f>
        <v/>
      </c>
      <c r="K67" s="25" t="str">
        <f>IF(A67="","",INDEX('Registro Incidencias'!AF$5:AF$200,A67))</f>
        <v/>
      </c>
      <c r="L67" s="28" t="str">
        <f>IF(A67="","",INDEX('Registro Incidencias'!AI$5:AI$200,A67))</f>
        <v/>
      </c>
      <c r="M67" s="22" t="str">
        <f>IF(A67="","",INDEX('Registro Incidencias'!AD$5:AD$200,A67))</f>
        <v/>
      </c>
      <c r="N67" s="25" t="str">
        <f>IF(A67="","",INDEX('Registro Incidencias'!AE$5:AE$200,A67))</f>
        <v/>
      </c>
      <c r="O67" s="22" t="str">
        <f>IF(A67="","",INDEX('Registro Incidencias'!AK$5:AK$200,A67))</f>
        <v/>
      </c>
      <c r="P67" s="63" t="str">
        <f>IF(A67="","",INDEX('Registro Incidencias'!AU$5:AU$200,A67))</f>
        <v/>
      </c>
      <c r="Q67" s="32" t="str">
        <f>IF(A67="","",INDEX('Registro Incidencias'!AV$5:AV$200,A67))</f>
        <v/>
      </c>
      <c r="R67" s="32"/>
      <c r="S67" s="32"/>
    </row>
    <row r="68" spans="1:19" ht="15" customHeight="1" x14ac:dyDescent="0.25">
      <c r="A68" s="36" t="str">
        <f>IFERROR(MATCH(1,INDEX(('Registro Incidencias'!AX$5:AX$200="Juan Luis"&amp;TEXT('📅 Semana'!B$13,"YYYYMMDD"))*('Registro Incidencias'!AY$5:AY$200=4),),0),"")</f>
        <v/>
      </c>
      <c r="B68" s="64" t="str">
        <f>IF(A68="","",INDEX('Registro Incidencias'!U$5:U$200,A68))</f>
        <v/>
      </c>
      <c r="C68" s="33" t="str">
        <f>IF(A68="","",INDEX('Registro Incidencias'!L$5:L$200,A68))</f>
        <v/>
      </c>
      <c r="D68" s="33" t="str">
        <f>IF(A68="","",INDEX('Registro Incidencias'!A$5:A$200,A68))</f>
        <v/>
      </c>
      <c r="E68" s="33" t="str">
        <f>IF(A68="","",INDEX('Registro Incidencias'!D$5:D$200,A68))</f>
        <v/>
      </c>
      <c r="F68" s="36" t="str">
        <f>IF(A68="","",INDEX('Registro Incidencias'!F$5:F$200,A68))</f>
        <v/>
      </c>
      <c r="G68" s="36" t="str">
        <f>IF(A68="","",INDEX('Registro Incidencias'!G$5:G$200,A68))</f>
        <v/>
      </c>
      <c r="H68" s="36" t="str">
        <f>IF(A68="","",INDEX('Registro Incidencias'!H$5:H$200,A68))</f>
        <v/>
      </c>
      <c r="I68" s="36" t="str">
        <f>IF(A68="","",INDEX('Registro Incidencias'!O$5:O$200,A68))</f>
        <v/>
      </c>
      <c r="J68" s="36" t="str">
        <f>IF(A68="","",INDEX('Registro Incidencias'!R$5:R$200,A68))</f>
        <v/>
      </c>
      <c r="K68" s="36" t="str">
        <f>IF(A68="","",INDEX('Registro Incidencias'!AF$5:AF$200,A68))</f>
        <v/>
      </c>
      <c r="L68" s="39" t="str">
        <f>IF(A68="","",INDEX('Registro Incidencias'!AI$5:AI$200,A68))</f>
        <v/>
      </c>
      <c r="M68" s="33" t="str">
        <f>IF(A68="","",INDEX('Registro Incidencias'!AD$5:AD$200,A68))</f>
        <v/>
      </c>
      <c r="N68" s="36" t="str">
        <f>IF(A68="","",INDEX('Registro Incidencias'!AE$5:AE$200,A68))</f>
        <v/>
      </c>
      <c r="O68" s="33" t="str">
        <f>IF(A68="","",INDEX('Registro Incidencias'!AK$5:AK$200,A68))</f>
        <v/>
      </c>
      <c r="P68" s="63" t="str">
        <f>IF(A68="","",INDEX('Registro Incidencias'!AU$5:AU$200,A68))</f>
        <v/>
      </c>
      <c r="Q68" s="32" t="str">
        <f>IF(A68="","",INDEX('Registro Incidencias'!AV$5:AV$200,A68))</f>
        <v/>
      </c>
      <c r="R68" s="32"/>
      <c r="S68" s="32"/>
    </row>
    <row r="69" spans="1:19" ht="15" customHeight="1" x14ac:dyDescent="0.25">
      <c r="A69" s="25" t="str">
        <f>IFERROR(MATCH(1,INDEX(('Registro Incidencias'!AX$5:AX$200="Juan Luis"&amp;TEXT('📅 Semana'!B$13,"YYYYMMDD"))*('Registro Incidencias'!AY$5:AY$200=5),),0),"")</f>
        <v/>
      </c>
      <c r="B69" s="62" t="str">
        <f>IF(A69="","",INDEX('Registro Incidencias'!U$5:U$200,A69))</f>
        <v/>
      </c>
      <c r="C69" s="22" t="str">
        <f>IF(A69="","",INDEX('Registro Incidencias'!L$5:L$200,A69))</f>
        <v/>
      </c>
      <c r="D69" s="22" t="str">
        <f>IF(A69="","",INDEX('Registro Incidencias'!A$5:A$200,A69))</f>
        <v/>
      </c>
      <c r="E69" s="22" t="str">
        <f>IF(A69="","",INDEX('Registro Incidencias'!D$5:D$200,A69))</f>
        <v/>
      </c>
      <c r="F69" s="25" t="str">
        <f>IF(A69="","",INDEX('Registro Incidencias'!F$5:F$200,A69))</f>
        <v/>
      </c>
      <c r="G69" s="25" t="str">
        <f>IF(A69="","",INDEX('Registro Incidencias'!G$5:G$200,A69))</f>
        <v/>
      </c>
      <c r="H69" s="25" t="str">
        <f>IF(A69="","",INDEX('Registro Incidencias'!H$5:H$200,A69))</f>
        <v/>
      </c>
      <c r="I69" s="25" t="str">
        <f>IF(A69="","",INDEX('Registro Incidencias'!O$5:O$200,A69))</f>
        <v/>
      </c>
      <c r="J69" s="25" t="str">
        <f>IF(A69="","",INDEX('Registro Incidencias'!R$5:R$200,A69))</f>
        <v/>
      </c>
      <c r="K69" s="25" t="str">
        <f>IF(A69="","",INDEX('Registro Incidencias'!AF$5:AF$200,A69))</f>
        <v/>
      </c>
      <c r="L69" s="28" t="str">
        <f>IF(A69="","",INDEX('Registro Incidencias'!AI$5:AI$200,A69))</f>
        <v/>
      </c>
      <c r="M69" s="22" t="str">
        <f>IF(A69="","",INDEX('Registro Incidencias'!AD$5:AD$200,A69))</f>
        <v/>
      </c>
      <c r="N69" s="25" t="str">
        <f>IF(A69="","",INDEX('Registro Incidencias'!AE$5:AE$200,A69))</f>
        <v/>
      </c>
      <c r="O69" s="22" t="str">
        <f>IF(A69="","",INDEX('Registro Incidencias'!AK$5:AK$200,A69))</f>
        <v/>
      </c>
      <c r="P69" s="63" t="str">
        <f>IF(A69="","",INDEX('Registro Incidencias'!AU$5:AU$200,A69))</f>
        <v/>
      </c>
      <c r="Q69" s="32" t="str">
        <f>IF(A69="","",INDEX('Registro Incidencias'!AV$5:AV$200,A69))</f>
        <v/>
      </c>
      <c r="R69" s="32"/>
      <c r="S69" s="32"/>
    </row>
    <row r="70" spans="1:19" ht="15" customHeight="1" x14ac:dyDescent="0.25">
      <c r="A70" s="36" t="str">
        <f>IFERROR(MATCH(1,INDEX(('Registro Incidencias'!AX$5:AX$200="Juan Luis"&amp;TEXT('📅 Semana'!B$13,"YYYYMMDD"))*('Registro Incidencias'!AY$5:AY$200=6),),0),"")</f>
        <v/>
      </c>
      <c r="B70" s="64" t="str">
        <f>IF(A70="","",INDEX('Registro Incidencias'!U$5:U$200,A70))</f>
        <v/>
      </c>
      <c r="C70" s="33" t="str">
        <f>IF(A70="","",INDEX('Registro Incidencias'!L$5:L$200,A70))</f>
        <v/>
      </c>
      <c r="D70" s="33" t="str">
        <f>IF(A70="","",INDEX('Registro Incidencias'!A$5:A$200,A70))</f>
        <v/>
      </c>
      <c r="E70" s="33" t="str">
        <f>IF(A70="","",INDEX('Registro Incidencias'!D$5:D$200,A70))</f>
        <v/>
      </c>
      <c r="F70" s="36" t="str">
        <f>IF(A70="","",INDEX('Registro Incidencias'!F$5:F$200,A70))</f>
        <v/>
      </c>
      <c r="G70" s="36" t="str">
        <f>IF(A70="","",INDEX('Registro Incidencias'!G$5:G$200,A70))</f>
        <v/>
      </c>
      <c r="H70" s="36" t="str">
        <f>IF(A70="","",INDEX('Registro Incidencias'!H$5:H$200,A70))</f>
        <v/>
      </c>
      <c r="I70" s="36" t="str">
        <f>IF(A70="","",INDEX('Registro Incidencias'!O$5:O$200,A70))</f>
        <v/>
      </c>
      <c r="J70" s="36" t="str">
        <f>IF(A70="","",INDEX('Registro Incidencias'!R$5:R$200,A70))</f>
        <v/>
      </c>
      <c r="K70" s="36" t="str">
        <f>IF(A70="","",INDEX('Registro Incidencias'!AF$5:AF$200,A70))</f>
        <v/>
      </c>
      <c r="L70" s="39" t="str">
        <f>IF(A70="","",INDEX('Registro Incidencias'!AI$5:AI$200,A70))</f>
        <v/>
      </c>
      <c r="M70" s="33" t="str">
        <f>IF(A70="","",INDEX('Registro Incidencias'!AD$5:AD$200,A70))</f>
        <v/>
      </c>
      <c r="N70" s="36" t="str">
        <f>IF(A70="","",INDEX('Registro Incidencias'!AE$5:AE$200,A70))</f>
        <v/>
      </c>
      <c r="O70" s="33" t="str">
        <f>IF(A70="","",INDEX('Registro Incidencias'!AK$5:AK$200,A70))</f>
        <v/>
      </c>
      <c r="P70" s="63" t="str">
        <f>IF(A70="","",INDEX('Registro Incidencias'!AU$5:AU$200,A70))</f>
        <v/>
      </c>
      <c r="Q70" s="32" t="str">
        <f>IF(A70="","",INDEX('Registro Incidencias'!AV$5:AV$200,A70))</f>
        <v/>
      </c>
      <c r="R70" s="32"/>
      <c r="S70" s="32"/>
    </row>
    <row r="71" spans="1:19" ht="21.75" customHeight="1" x14ac:dyDescent="0.25">
      <c r="A71" s="133" t="str">
        <f>COUNTIFS('Registro Incidencias'!S$5:S$200,"Juan Luis",'Registro Incidencias'!T$5:T$200,'📅 Semana'!B$13)&amp;" averías"</f>
        <v>0 averías</v>
      </c>
      <c r="B71" s="133"/>
      <c r="C71" s="133"/>
      <c r="D71" s="133"/>
      <c r="E71" s="133"/>
      <c r="F71" s="133"/>
      <c r="G71" s="133"/>
      <c r="H71" s="133"/>
      <c r="I71" s="133"/>
      <c r="J71" s="2" t="str">
        <f>"Verificadas: "&amp;COUNTIFS(A65:A70,"&lt;&gt;",P65:P70,"&lt;&gt;")&amp;"/"&amp;COUNTIF(A65:A70,"&lt;&gt;")</f>
        <v>Verificadas: 6/6</v>
      </c>
      <c r="K71" s="2"/>
      <c r="L71" s="2"/>
      <c r="M71" s="2"/>
      <c r="N71" s="2"/>
      <c r="O71" s="2"/>
      <c r="P71" s="2"/>
    </row>
    <row r="74" spans="1:19" ht="15" customHeight="1" x14ac:dyDescent="0.25">
      <c r="A74" s="11" t="s">
        <v>110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ht="18" customHeight="1" x14ac:dyDescent="0.25">
      <c r="A75" s="134" t="s">
        <v>100</v>
      </c>
      <c r="B75" s="134"/>
      <c r="C75" s="134"/>
      <c r="D75" s="134"/>
      <c r="E75" s="134"/>
      <c r="F75" s="134"/>
      <c r="G75" s="134"/>
      <c r="H75" s="134"/>
      <c r="I75" s="134"/>
      <c r="J75" s="74">
        <f>COUNTIFS('Registro Incidencias'!S$5:S$200,"Juan Luis",'Registro Incidencias'!T$5:T$200,"&gt;="&amp;'📅 Semana'!B$7,'Registro Incidencias'!T$5:T$200,"&lt;="&amp;'📅 Semana'!B$13)</f>
        <v>0</v>
      </c>
    </row>
    <row r="76" spans="1:19" ht="18" customHeight="1" x14ac:dyDescent="0.25">
      <c r="A76" s="135" t="s">
        <v>101</v>
      </c>
      <c r="B76" s="135"/>
      <c r="C76" s="135"/>
      <c r="D76" s="135"/>
      <c r="E76" s="135"/>
      <c r="F76" s="135"/>
      <c r="G76" s="135"/>
      <c r="H76" s="135"/>
      <c r="I76" s="135"/>
      <c r="J76" s="75">
        <f>COUNTIFS('Registro Incidencias'!S$5:S$200,"Juan Luis",'Registro Incidencias'!T$5:T$200,"&gt;="&amp;'📅 Semana'!B$7,'Registro Incidencias'!T$5:T$200,"&lt;="&amp;'📅 Semana'!B$13,'Registro Incidencias'!AK$5:AK$200,"*Resuelta*")</f>
        <v>0</v>
      </c>
    </row>
    <row r="77" spans="1:19" ht="18" customHeight="1" x14ac:dyDescent="0.25">
      <c r="A77" s="134" t="s">
        <v>102</v>
      </c>
      <c r="B77" s="134"/>
      <c r="C77" s="134"/>
      <c r="D77" s="134"/>
      <c r="E77" s="134"/>
      <c r="F77" s="134"/>
      <c r="G77" s="134"/>
      <c r="H77" s="134"/>
      <c r="I77" s="134"/>
      <c r="J77" s="74">
        <f>COUNTIFS('Registro Incidencias'!S$5:S$200,"Juan Luis",'Registro Incidencias'!T$5:T$200,"&gt;="&amp;'📅 Semana'!B$7,'Registro Incidencias'!T$5:T$200,"&lt;="&amp;'📅 Semana'!B$13,'Registro Incidencias'!AK$5:AK$200,"*No resuelta*")</f>
        <v>0</v>
      </c>
    </row>
    <row r="78" spans="1:19" ht="18" customHeight="1" x14ac:dyDescent="0.25">
      <c r="A78" s="135" t="s">
        <v>103</v>
      </c>
      <c r="B78" s="135"/>
      <c r="C78" s="135"/>
      <c r="D78" s="135"/>
      <c r="E78" s="135"/>
      <c r="F78" s="135"/>
      <c r="G78" s="135"/>
      <c r="H78" s="135"/>
      <c r="I78" s="135"/>
      <c r="J78" s="75">
        <f>COUNTIFS('Registro Incidencias'!S$5:S$200,"Juan Luis",'Registro Incidencias'!T$5:T$200,"&gt;="&amp;'📅 Semana'!B$7,'Registro Incidencias'!T$5:T$200,"&lt;="&amp;'📅 Semana'!B$13,'Registro Incidencias'!AK$5:AK$200,"*Pospuesta*")</f>
        <v>0</v>
      </c>
    </row>
    <row r="79" spans="1:19" ht="18" customHeight="1" x14ac:dyDescent="0.25">
      <c r="A79" s="134" t="s">
        <v>104</v>
      </c>
      <c r="B79" s="134"/>
      <c r="C79" s="134"/>
      <c r="D79" s="134"/>
      <c r="E79" s="134"/>
      <c r="F79" s="134"/>
      <c r="G79" s="134"/>
      <c r="H79" s="134"/>
      <c r="I79" s="134"/>
      <c r="J79" s="74">
        <f>COUNTIFS('Registro Incidencias'!S$5:S$200,"Juan Luis",'Registro Incidencias'!T$5:T$200,"&gt;="&amp;'📅 Semana'!B$7,'Registro Incidencias'!T$5:T$200,"&lt;="&amp;'📅 Semana'!B$13,'Registro Incidencias'!AD$5:AD$200,"&gt;1")</f>
        <v>0</v>
      </c>
    </row>
    <row r="80" spans="1:19" ht="18" customHeight="1" x14ac:dyDescent="0.25">
      <c r="A80" s="135" t="s">
        <v>105</v>
      </c>
      <c r="B80" s="135"/>
      <c r="C80" s="135"/>
      <c r="D80" s="135"/>
      <c r="E80" s="135"/>
      <c r="F80" s="135"/>
      <c r="G80" s="135"/>
      <c r="H80" s="135"/>
      <c r="I80" s="135"/>
      <c r="J80" s="75">
        <f>COUNTIFS('Registro Incidencias'!S$5:S$200,"Juan Luis",'Registro Incidencias'!T$5:T$200,"&gt;="&amp;'📅 Semana'!B$7,'Registro Incidencias'!T$5:T$200,"&lt;="&amp;'📅 Semana'!B$13,'Registro Incidencias'!AE$5:AE$200,"Fallo del técnico")</f>
        <v>0</v>
      </c>
    </row>
    <row r="81" spans="1:10" ht="18" customHeight="1" x14ac:dyDescent="0.25">
      <c r="A81" s="134" t="s">
        <v>106</v>
      </c>
      <c r="B81" s="134"/>
      <c r="C81" s="134"/>
      <c r="D81" s="134"/>
      <c r="E81" s="134"/>
      <c r="F81" s="134"/>
      <c r="G81" s="134"/>
      <c r="H81" s="134"/>
      <c r="I81" s="134"/>
      <c r="J81" s="74">
        <f>COUNTIFS('Registro Incidencias'!S$5:S$200,"Juan Luis",'Registro Incidencias'!T$5:T$200,"&gt;="&amp;'📅 Semana'!B$7,'Registro Incidencias'!T$5:T$200,"&lt;="&amp;'📅 Semana'!B$13,'Registro Incidencias'!AE$5:AE$200,"Falta de material")</f>
        <v>0</v>
      </c>
    </row>
    <row r="82" spans="1:10" ht="18" customHeight="1" x14ac:dyDescent="0.25">
      <c r="A82" s="135" t="s">
        <v>107</v>
      </c>
      <c r="B82" s="135"/>
      <c r="C82" s="135"/>
      <c r="D82" s="135"/>
      <c r="E82" s="135"/>
      <c r="F82" s="135"/>
      <c r="G82" s="135"/>
      <c r="H82" s="135"/>
      <c r="I82" s="135"/>
      <c r="J82" s="76">
        <f>SUMIFS('Registro Incidencias'!AS$5:AS$200,'Registro Incidencias'!S$5:S$200,"Juan Luis",'Registro Incidencias'!T$5:T$200,"&gt;="&amp;'📅 Semana'!B$7,'Registro Incidencias'!T$5:T$200,"&lt;="&amp;'📅 Semana'!B$13)</f>
        <v>0</v>
      </c>
    </row>
    <row r="83" spans="1:10" ht="18" customHeight="1" x14ac:dyDescent="0.25">
      <c r="A83" s="134" t="s">
        <v>108</v>
      </c>
      <c r="B83" s="134"/>
      <c r="C83" s="134"/>
      <c r="D83" s="134"/>
      <c r="E83" s="134"/>
      <c r="F83" s="134"/>
      <c r="G83" s="134"/>
      <c r="H83" s="134"/>
      <c r="I83" s="134"/>
      <c r="J83" s="74">
        <f>SUMIFS('Registro Incidencias'!X$5:X$200,'Registro Incidencias'!S$5:S$200,"Juan Luis",'Registro Incidencias'!T$5:T$200,"&gt;="&amp;'📅 Semana'!B$7,'Registro Incidencias'!T$5:T$200,"&lt;="&amp;'📅 Semana'!B$13)</f>
        <v>0</v>
      </c>
    </row>
  </sheetData>
  <mergeCells count="33">
    <mergeCell ref="A79:I79"/>
    <mergeCell ref="A80:I80"/>
    <mergeCell ref="A81:I81"/>
    <mergeCell ref="A82:I82"/>
    <mergeCell ref="A83:I83"/>
    <mergeCell ref="A74:S74"/>
    <mergeCell ref="A75:I75"/>
    <mergeCell ref="A76:I76"/>
    <mergeCell ref="A77:I77"/>
    <mergeCell ref="A78:I78"/>
    <mergeCell ref="A53:S53"/>
    <mergeCell ref="A61:I61"/>
    <mergeCell ref="J61:P61"/>
    <mergeCell ref="A63:S63"/>
    <mergeCell ref="A71:I71"/>
    <mergeCell ref="J71:P71"/>
    <mergeCell ref="A33:S33"/>
    <mergeCell ref="A41:I41"/>
    <mergeCell ref="J41:P41"/>
    <mergeCell ref="A43:S43"/>
    <mergeCell ref="A51:I51"/>
    <mergeCell ref="J51:P51"/>
    <mergeCell ref="A13:S13"/>
    <mergeCell ref="A21:I21"/>
    <mergeCell ref="J21:P21"/>
    <mergeCell ref="A23:S23"/>
    <mergeCell ref="A31:I31"/>
    <mergeCell ref="J31:P31"/>
    <mergeCell ref="A1:S1"/>
    <mergeCell ref="A2:S2"/>
    <mergeCell ref="A3:S3"/>
    <mergeCell ref="A11:I11"/>
    <mergeCell ref="J11:P11"/>
  </mergeCells>
  <conditionalFormatting sqref="A5:R73">
    <cfRule type="expression" dxfId="31" priority="6">
      <formula>OR(ISNUMBER(SEARCH("Resuelta",$O5)),ISNUMBER(SEARCH("Cerrada",$O5)))</formula>
    </cfRule>
    <cfRule type="expression" dxfId="30" priority="7">
      <formula>OR(ISNUMBER(SEARCH("Pospuesta",$O5)),ISNUMBER(SEARCH("Espera",$O5)))</formula>
    </cfRule>
    <cfRule type="expression" dxfId="29" priority="8">
      <formula>ISNUMBER(SEARCH("No resuelta",$O5))</formula>
    </cfRule>
  </conditionalFormatting>
  <conditionalFormatting sqref="C5:C73">
    <cfRule type="expression" dxfId="28" priority="2">
      <formula>NOT(ISERROR(SEARCH("CRÍTICA",C5)))</formula>
    </cfRule>
    <cfRule type="expression" dxfId="27" priority="3">
      <formula>NOT(ISERROR(SEARCH("ALTA",C5)))</formula>
    </cfRule>
    <cfRule type="expression" dxfId="26" priority="4">
      <formula>NOT(ISERROR(SEARCH("MEDIA",C5)))</formula>
    </cfRule>
    <cfRule type="expression" dxfId="25" priority="5">
      <formula>NOT(ISERROR(SEARCH("BAJA",C5)))</formula>
    </cfRule>
  </conditionalFormatting>
  <conditionalFormatting sqref="P5:P73">
    <cfRule type="expression" dxfId="24" priority="9">
      <formula>P5&lt;&gt;""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S83"/>
  <sheetViews>
    <sheetView zoomScaleNormal="100" workbookViewId="0">
      <pane ySplit="2" topLeftCell="A3" activePane="bottomLeft" state="frozen"/>
      <selection pane="bottomLeft" sqref="A1:S1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11" customWidth="1"/>
    <col min="4" max="4" width="12" customWidth="1"/>
    <col min="5" max="5" width="10" customWidth="1"/>
    <col min="6" max="6" width="22" customWidth="1"/>
    <col min="7" max="7" width="24" customWidth="1"/>
    <col min="8" max="8" width="13" customWidth="1"/>
    <col min="9" max="9" width="14" customWidth="1"/>
    <col min="10" max="10" width="24" customWidth="1"/>
    <col min="11" max="11" width="22" customWidth="1"/>
    <col min="12" max="12" width="10" customWidth="1"/>
    <col min="13" max="13" width="7" customWidth="1"/>
    <col min="14" max="14" width="20" customWidth="1"/>
    <col min="15" max="15" width="13" customWidth="1"/>
    <col min="16" max="16" width="28" customWidth="1"/>
    <col min="17" max="17" width="14" customWidth="1"/>
    <col min="18" max="18" width="16" customWidth="1"/>
    <col min="19" max="19" width="18" customWidth="1"/>
  </cols>
  <sheetData>
    <row r="1" spans="1:19" ht="42" customHeight="1" x14ac:dyDescent="0.25">
      <c r="A1" s="137" t="s">
        <v>111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</row>
    <row r="2" spans="1:19" ht="25.5" customHeight="1" x14ac:dyDescent="0.25">
      <c r="A2" s="13" t="s">
        <v>84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30" customHeight="1" x14ac:dyDescent="0.25">
      <c r="A3" s="4" t="str">
        <f>TEXT('📅 Semana'!B$7,"DDDD")&amp;"  —  "&amp;TEXT('📅 Semana'!B$7,"DD/MM/")&amp;"2026"</f>
        <v>lunes  —  16/02/2026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30" customHeight="1" x14ac:dyDescent="0.25">
      <c r="A4" s="60" t="s">
        <v>85</v>
      </c>
      <c r="B4" s="60" t="s">
        <v>86</v>
      </c>
      <c r="C4" s="60" t="s">
        <v>18</v>
      </c>
      <c r="D4" s="60" t="s">
        <v>87</v>
      </c>
      <c r="E4" s="60" t="s">
        <v>88</v>
      </c>
      <c r="F4" s="60" t="s">
        <v>89</v>
      </c>
      <c r="G4" s="60" t="s">
        <v>13</v>
      </c>
      <c r="H4" s="60" t="s">
        <v>14</v>
      </c>
      <c r="I4" s="60" t="s">
        <v>90</v>
      </c>
      <c r="J4" s="60" t="s">
        <v>91</v>
      </c>
      <c r="K4" s="60" t="s">
        <v>92</v>
      </c>
      <c r="L4" s="60" t="s">
        <v>93</v>
      </c>
      <c r="M4" s="60" t="s">
        <v>94</v>
      </c>
      <c r="N4" s="60" t="s">
        <v>37</v>
      </c>
      <c r="O4" s="60" t="s">
        <v>43</v>
      </c>
      <c r="P4" s="61" t="s">
        <v>95</v>
      </c>
      <c r="Q4" s="61" t="s">
        <v>96</v>
      </c>
      <c r="R4" s="61" t="s">
        <v>97</v>
      </c>
      <c r="S4" s="61" t="s">
        <v>98</v>
      </c>
    </row>
    <row r="5" spans="1:19" ht="15" customHeight="1" x14ac:dyDescent="0.25">
      <c r="A5" s="25" t="str">
        <f>IFERROR(MATCH(1,INDEX(('Registro Incidencias'!AX$5:AX$200="Paco"&amp;TEXT('📅 Semana'!B$7,"YYYYMMDD"))*('Registro Incidencias'!AY$5:AY$200=1),),0),"")</f>
        <v/>
      </c>
      <c r="B5" s="62" t="str">
        <f>IF(A5="","",INDEX('Registro Incidencias'!U$5:U$200,A5))</f>
        <v/>
      </c>
      <c r="C5" s="22" t="str">
        <f>IF(A5="","",INDEX('Registro Incidencias'!L$5:L$200,A5))</f>
        <v/>
      </c>
      <c r="D5" s="22" t="str">
        <f>IF(A5="","",INDEX('Registro Incidencias'!A$5:A$200,A5))</f>
        <v/>
      </c>
      <c r="E5" s="22" t="str">
        <f>IF(A5="","",INDEX('Registro Incidencias'!D$5:D$200,A5))</f>
        <v/>
      </c>
      <c r="F5" s="25" t="str">
        <f>IF(A5="","",INDEX('Registro Incidencias'!F$5:F$200,A5))</f>
        <v/>
      </c>
      <c r="G5" s="25" t="str">
        <f>IF(A5="","",INDEX('Registro Incidencias'!G$5:G$200,A5))</f>
        <v/>
      </c>
      <c r="H5" s="25" t="str">
        <f>IF(A5="","",INDEX('Registro Incidencias'!H$5:H$200,A5))</f>
        <v/>
      </c>
      <c r="I5" s="25" t="str">
        <f>IF(A5="","",INDEX('Registro Incidencias'!O$5:O$200,A5))</f>
        <v/>
      </c>
      <c r="J5" s="25" t="str">
        <f>IF(A5="","",INDEX('Registro Incidencias'!R$5:R$200,A5))</f>
        <v/>
      </c>
      <c r="K5" s="25" t="str">
        <f>IF(A5="","",INDEX('Registro Incidencias'!AF$5:AF$200,A5))</f>
        <v/>
      </c>
      <c r="L5" s="28" t="str">
        <f>IF(A5="","",INDEX('Registro Incidencias'!AI$5:AI$200,A5))</f>
        <v/>
      </c>
      <c r="M5" s="22" t="str">
        <f>IF(A5="","",INDEX('Registro Incidencias'!AD$5:AD$200,A5))</f>
        <v/>
      </c>
      <c r="N5" s="25" t="str">
        <f>IF(A5="","",INDEX('Registro Incidencias'!AE$5:AE$200,A5))</f>
        <v/>
      </c>
      <c r="O5" s="22" t="str">
        <f>IF(A5="","",INDEX('Registro Incidencias'!AK$5:AK$200,A5))</f>
        <v/>
      </c>
      <c r="P5" s="63" t="str">
        <f>IF(A5="","",INDEX('Registro Incidencias'!AU$5:AU$200,A5))</f>
        <v/>
      </c>
      <c r="Q5" s="32" t="str">
        <f>IF(A5="","",INDEX('Registro Incidencias'!AV$5:AV$200,A5))</f>
        <v/>
      </c>
      <c r="R5" s="32"/>
      <c r="S5" s="32"/>
    </row>
    <row r="6" spans="1:19" ht="15" customHeight="1" x14ac:dyDescent="0.25">
      <c r="A6" s="36" t="str">
        <f>IFERROR(MATCH(1,INDEX(('Registro Incidencias'!AX$5:AX$200="Paco"&amp;TEXT('📅 Semana'!B$7,"YYYYMMDD"))*('Registro Incidencias'!AY$5:AY$200=2),),0),"")</f>
        <v/>
      </c>
      <c r="B6" s="64" t="str">
        <f>IF(A6="","",INDEX('Registro Incidencias'!U$5:U$200,A6))</f>
        <v/>
      </c>
      <c r="C6" s="33" t="str">
        <f>IF(A6="","",INDEX('Registro Incidencias'!L$5:L$200,A6))</f>
        <v/>
      </c>
      <c r="D6" s="33" t="str">
        <f>IF(A6="","",INDEX('Registro Incidencias'!A$5:A$200,A6))</f>
        <v/>
      </c>
      <c r="E6" s="33" t="str">
        <f>IF(A6="","",INDEX('Registro Incidencias'!D$5:D$200,A6))</f>
        <v/>
      </c>
      <c r="F6" s="36" t="str">
        <f>IF(A6="","",INDEX('Registro Incidencias'!F$5:F$200,A6))</f>
        <v/>
      </c>
      <c r="G6" s="36" t="str">
        <f>IF(A6="","",INDEX('Registro Incidencias'!G$5:G$200,A6))</f>
        <v/>
      </c>
      <c r="H6" s="36" t="str">
        <f>IF(A6="","",INDEX('Registro Incidencias'!H$5:H$200,A6))</f>
        <v/>
      </c>
      <c r="I6" s="36" t="str">
        <f>IF(A6="","",INDEX('Registro Incidencias'!O$5:O$200,A6))</f>
        <v/>
      </c>
      <c r="J6" s="36" t="str">
        <f>IF(A6="","",INDEX('Registro Incidencias'!R$5:R$200,A6))</f>
        <v/>
      </c>
      <c r="K6" s="36" t="str">
        <f>IF(A6="","",INDEX('Registro Incidencias'!AF$5:AF$200,A6))</f>
        <v/>
      </c>
      <c r="L6" s="39" t="str">
        <f>IF(A6="","",INDEX('Registro Incidencias'!AI$5:AI$200,A6))</f>
        <v/>
      </c>
      <c r="M6" s="33" t="str">
        <f>IF(A6="","",INDEX('Registro Incidencias'!AD$5:AD$200,A6))</f>
        <v/>
      </c>
      <c r="N6" s="36" t="str">
        <f>IF(A6="","",INDEX('Registro Incidencias'!AE$5:AE$200,A6))</f>
        <v/>
      </c>
      <c r="O6" s="33" t="str">
        <f>IF(A6="","",INDEX('Registro Incidencias'!AK$5:AK$200,A6))</f>
        <v/>
      </c>
      <c r="P6" s="63" t="str">
        <f>IF(A6="","",INDEX('Registro Incidencias'!AU$5:AU$200,A6))</f>
        <v/>
      </c>
      <c r="Q6" s="32" t="str">
        <f>IF(A6="","",INDEX('Registro Incidencias'!AV$5:AV$200,A6))</f>
        <v/>
      </c>
      <c r="R6" s="32"/>
      <c r="S6" s="32"/>
    </row>
    <row r="7" spans="1:19" ht="15" customHeight="1" x14ac:dyDescent="0.25">
      <c r="A7" s="25" t="str">
        <f>IFERROR(MATCH(1,INDEX(('Registro Incidencias'!AX$5:AX$200="Paco"&amp;TEXT('📅 Semana'!B$7,"YYYYMMDD"))*('Registro Incidencias'!AY$5:AY$200=3),),0),"")</f>
        <v/>
      </c>
      <c r="B7" s="62" t="str">
        <f>IF(A7="","",INDEX('Registro Incidencias'!U$5:U$200,A7))</f>
        <v/>
      </c>
      <c r="C7" s="22" t="str">
        <f>IF(A7="","",INDEX('Registro Incidencias'!L$5:L$200,A7))</f>
        <v/>
      </c>
      <c r="D7" s="22" t="str">
        <f>IF(A7="","",INDEX('Registro Incidencias'!A$5:A$200,A7))</f>
        <v/>
      </c>
      <c r="E7" s="22" t="str">
        <f>IF(A7="","",INDEX('Registro Incidencias'!D$5:D$200,A7))</f>
        <v/>
      </c>
      <c r="F7" s="25" t="str">
        <f>IF(A7="","",INDEX('Registro Incidencias'!F$5:F$200,A7))</f>
        <v/>
      </c>
      <c r="G7" s="25" t="str">
        <f>IF(A7="","",INDEX('Registro Incidencias'!G$5:G$200,A7))</f>
        <v/>
      </c>
      <c r="H7" s="25" t="str">
        <f>IF(A7="","",INDEX('Registro Incidencias'!H$5:H$200,A7))</f>
        <v/>
      </c>
      <c r="I7" s="25" t="str">
        <f>IF(A7="","",INDEX('Registro Incidencias'!O$5:O$200,A7))</f>
        <v/>
      </c>
      <c r="J7" s="25" t="str">
        <f>IF(A7="","",INDEX('Registro Incidencias'!R$5:R$200,A7))</f>
        <v/>
      </c>
      <c r="K7" s="25" t="str">
        <f>IF(A7="","",INDEX('Registro Incidencias'!AF$5:AF$200,A7))</f>
        <v/>
      </c>
      <c r="L7" s="28" t="str">
        <f>IF(A7="","",INDEX('Registro Incidencias'!AI$5:AI$200,A7))</f>
        <v/>
      </c>
      <c r="M7" s="22" t="str">
        <f>IF(A7="","",INDEX('Registro Incidencias'!AD$5:AD$200,A7))</f>
        <v/>
      </c>
      <c r="N7" s="25" t="str">
        <f>IF(A7="","",INDEX('Registro Incidencias'!AE$5:AE$200,A7))</f>
        <v/>
      </c>
      <c r="O7" s="22" t="str">
        <f>IF(A7="","",INDEX('Registro Incidencias'!AK$5:AK$200,A7))</f>
        <v/>
      </c>
      <c r="P7" s="63" t="str">
        <f>IF(A7="","",INDEX('Registro Incidencias'!AU$5:AU$200,A7))</f>
        <v/>
      </c>
      <c r="Q7" s="32" t="str">
        <f>IF(A7="","",INDEX('Registro Incidencias'!AV$5:AV$200,A7))</f>
        <v/>
      </c>
      <c r="R7" s="32"/>
      <c r="S7" s="32"/>
    </row>
    <row r="8" spans="1:19" ht="15" customHeight="1" x14ac:dyDescent="0.25">
      <c r="A8" s="36" t="str">
        <f>IFERROR(MATCH(1,INDEX(('Registro Incidencias'!AX$5:AX$200="Paco"&amp;TEXT('📅 Semana'!B$7,"YYYYMMDD"))*('Registro Incidencias'!AY$5:AY$200=4),),0),"")</f>
        <v/>
      </c>
      <c r="B8" s="64" t="str">
        <f>IF(A8="","",INDEX('Registro Incidencias'!U$5:U$200,A8))</f>
        <v/>
      </c>
      <c r="C8" s="33" t="str">
        <f>IF(A8="","",INDEX('Registro Incidencias'!L$5:L$200,A8))</f>
        <v/>
      </c>
      <c r="D8" s="33" t="str">
        <f>IF(A8="","",INDEX('Registro Incidencias'!A$5:A$200,A8))</f>
        <v/>
      </c>
      <c r="E8" s="33" t="str">
        <f>IF(A8="","",INDEX('Registro Incidencias'!D$5:D$200,A8))</f>
        <v/>
      </c>
      <c r="F8" s="36" t="str">
        <f>IF(A8="","",INDEX('Registro Incidencias'!F$5:F$200,A8))</f>
        <v/>
      </c>
      <c r="G8" s="36" t="str">
        <f>IF(A8="","",INDEX('Registro Incidencias'!G$5:G$200,A8))</f>
        <v/>
      </c>
      <c r="H8" s="36" t="str">
        <f>IF(A8="","",INDEX('Registro Incidencias'!H$5:H$200,A8))</f>
        <v/>
      </c>
      <c r="I8" s="36" t="str">
        <f>IF(A8="","",INDEX('Registro Incidencias'!O$5:O$200,A8))</f>
        <v/>
      </c>
      <c r="J8" s="36" t="str">
        <f>IF(A8="","",INDEX('Registro Incidencias'!R$5:R$200,A8))</f>
        <v/>
      </c>
      <c r="K8" s="36" t="str">
        <f>IF(A8="","",INDEX('Registro Incidencias'!AF$5:AF$200,A8))</f>
        <v/>
      </c>
      <c r="L8" s="39" t="str">
        <f>IF(A8="","",INDEX('Registro Incidencias'!AI$5:AI$200,A8))</f>
        <v/>
      </c>
      <c r="M8" s="33" t="str">
        <f>IF(A8="","",INDEX('Registro Incidencias'!AD$5:AD$200,A8))</f>
        <v/>
      </c>
      <c r="N8" s="36" t="str">
        <f>IF(A8="","",INDEX('Registro Incidencias'!AE$5:AE$200,A8))</f>
        <v/>
      </c>
      <c r="O8" s="33" t="str">
        <f>IF(A8="","",INDEX('Registro Incidencias'!AK$5:AK$200,A8))</f>
        <v/>
      </c>
      <c r="P8" s="63" t="str">
        <f>IF(A8="","",INDEX('Registro Incidencias'!AU$5:AU$200,A8))</f>
        <v/>
      </c>
      <c r="Q8" s="32" t="str">
        <f>IF(A8="","",INDEX('Registro Incidencias'!AV$5:AV$200,A8))</f>
        <v/>
      </c>
      <c r="R8" s="32"/>
      <c r="S8" s="32"/>
    </row>
    <row r="9" spans="1:19" ht="15" customHeight="1" x14ac:dyDescent="0.25">
      <c r="A9" s="25" t="str">
        <f>IFERROR(MATCH(1,INDEX(('Registro Incidencias'!AX$5:AX$200="Paco"&amp;TEXT('📅 Semana'!B$7,"YYYYMMDD"))*('Registro Incidencias'!AY$5:AY$200=5),),0),"")</f>
        <v/>
      </c>
      <c r="B9" s="62" t="str">
        <f>IF(A9="","",INDEX('Registro Incidencias'!U$5:U$200,A9))</f>
        <v/>
      </c>
      <c r="C9" s="22" t="str">
        <f>IF(A9="","",INDEX('Registro Incidencias'!L$5:L$200,A9))</f>
        <v/>
      </c>
      <c r="D9" s="22" t="str">
        <f>IF(A9="","",INDEX('Registro Incidencias'!A$5:A$200,A9))</f>
        <v/>
      </c>
      <c r="E9" s="22" t="str">
        <f>IF(A9="","",INDEX('Registro Incidencias'!D$5:D$200,A9))</f>
        <v/>
      </c>
      <c r="F9" s="25" t="str">
        <f>IF(A9="","",INDEX('Registro Incidencias'!F$5:F$200,A9))</f>
        <v/>
      </c>
      <c r="G9" s="25" t="str">
        <f>IF(A9="","",INDEX('Registro Incidencias'!G$5:G$200,A9))</f>
        <v/>
      </c>
      <c r="H9" s="25" t="str">
        <f>IF(A9="","",INDEX('Registro Incidencias'!H$5:H$200,A9))</f>
        <v/>
      </c>
      <c r="I9" s="25" t="str">
        <f>IF(A9="","",INDEX('Registro Incidencias'!O$5:O$200,A9))</f>
        <v/>
      </c>
      <c r="J9" s="25" t="str">
        <f>IF(A9="","",INDEX('Registro Incidencias'!R$5:R$200,A9))</f>
        <v/>
      </c>
      <c r="K9" s="25" t="str">
        <f>IF(A9="","",INDEX('Registro Incidencias'!AF$5:AF$200,A9))</f>
        <v/>
      </c>
      <c r="L9" s="28" t="str">
        <f>IF(A9="","",INDEX('Registro Incidencias'!AI$5:AI$200,A9))</f>
        <v/>
      </c>
      <c r="M9" s="22" t="str">
        <f>IF(A9="","",INDEX('Registro Incidencias'!AD$5:AD$200,A9))</f>
        <v/>
      </c>
      <c r="N9" s="25" t="str">
        <f>IF(A9="","",INDEX('Registro Incidencias'!AE$5:AE$200,A9))</f>
        <v/>
      </c>
      <c r="O9" s="22" t="str">
        <f>IF(A9="","",INDEX('Registro Incidencias'!AK$5:AK$200,A9))</f>
        <v/>
      </c>
      <c r="P9" s="63" t="str">
        <f>IF(A9="","",INDEX('Registro Incidencias'!AU$5:AU$200,A9))</f>
        <v/>
      </c>
      <c r="Q9" s="32" t="str">
        <f>IF(A9="","",INDEX('Registro Incidencias'!AV$5:AV$200,A9))</f>
        <v/>
      </c>
      <c r="R9" s="32"/>
      <c r="S9" s="32"/>
    </row>
    <row r="10" spans="1:19" ht="15" customHeight="1" x14ac:dyDescent="0.25">
      <c r="A10" s="36" t="str">
        <f>IFERROR(MATCH(1,INDEX(('Registro Incidencias'!AX$5:AX$200="Paco"&amp;TEXT('📅 Semana'!B$7,"YYYYMMDD"))*('Registro Incidencias'!AY$5:AY$200=6),),0),"")</f>
        <v/>
      </c>
      <c r="B10" s="64" t="str">
        <f>IF(A10="","",INDEX('Registro Incidencias'!U$5:U$200,A10))</f>
        <v/>
      </c>
      <c r="C10" s="33" t="str">
        <f>IF(A10="","",INDEX('Registro Incidencias'!L$5:L$200,A10))</f>
        <v/>
      </c>
      <c r="D10" s="33" t="str">
        <f>IF(A10="","",INDEX('Registro Incidencias'!A$5:A$200,A10))</f>
        <v/>
      </c>
      <c r="E10" s="33" t="str">
        <f>IF(A10="","",INDEX('Registro Incidencias'!D$5:D$200,A10))</f>
        <v/>
      </c>
      <c r="F10" s="36" t="str">
        <f>IF(A10="","",INDEX('Registro Incidencias'!F$5:F$200,A10))</f>
        <v/>
      </c>
      <c r="G10" s="36" t="str">
        <f>IF(A10="","",INDEX('Registro Incidencias'!G$5:G$200,A10))</f>
        <v/>
      </c>
      <c r="H10" s="36" t="str">
        <f>IF(A10="","",INDEX('Registro Incidencias'!H$5:H$200,A10))</f>
        <v/>
      </c>
      <c r="I10" s="36" t="str">
        <f>IF(A10="","",INDEX('Registro Incidencias'!O$5:O$200,A10))</f>
        <v/>
      </c>
      <c r="J10" s="36" t="str">
        <f>IF(A10="","",INDEX('Registro Incidencias'!R$5:R$200,A10))</f>
        <v/>
      </c>
      <c r="K10" s="36" t="str">
        <f>IF(A10="","",INDEX('Registro Incidencias'!AF$5:AF$200,A10))</f>
        <v/>
      </c>
      <c r="L10" s="39" t="str">
        <f>IF(A10="","",INDEX('Registro Incidencias'!AI$5:AI$200,A10))</f>
        <v/>
      </c>
      <c r="M10" s="33" t="str">
        <f>IF(A10="","",INDEX('Registro Incidencias'!AD$5:AD$200,A10))</f>
        <v/>
      </c>
      <c r="N10" s="36" t="str">
        <f>IF(A10="","",INDEX('Registro Incidencias'!AE$5:AE$200,A10))</f>
        <v/>
      </c>
      <c r="O10" s="33" t="str">
        <f>IF(A10="","",INDEX('Registro Incidencias'!AK$5:AK$200,A10))</f>
        <v/>
      </c>
      <c r="P10" s="63" t="str">
        <f>IF(A10="","",INDEX('Registro Incidencias'!AU$5:AU$200,A10))</f>
        <v/>
      </c>
      <c r="Q10" s="32" t="str">
        <f>IF(A10="","",INDEX('Registro Incidencias'!AV$5:AV$200,A10))</f>
        <v/>
      </c>
      <c r="R10" s="32"/>
      <c r="S10" s="32"/>
    </row>
    <row r="11" spans="1:19" ht="21.75" customHeight="1" x14ac:dyDescent="0.25">
      <c r="A11" s="3" t="str">
        <f>COUNTIFS('Registro Incidencias'!S$5:S$200,"Paco",'Registro Incidencias'!T$5:T$200,'📅 Semana'!B$7)&amp;" averías"</f>
        <v>0 averías</v>
      </c>
      <c r="B11" s="3"/>
      <c r="C11" s="3"/>
      <c r="D11" s="3"/>
      <c r="E11" s="3"/>
      <c r="F11" s="3"/>
      <c r="G11" s="3"/>
      <c r="H11" s="3"/>
      <c r="I11" s="3"/>
      <c r="J11" s="2" t="str">
        <f>"Verificadas: "&amp;COUNTIFS(A5:A10,"&lt;&gt;",P5:P10,"&lt;&gt;")&amp;"/"&amp;COUNTIF(A5:A10,"&lt;&gt;")</f>
        <v>Verificadas: 6/6</v>
      </c>
      <c r="K11" s="2"/>
      <c r="L11" s="2"/>
      <c r="M11" s="2"/>
      <c r="N11" s="2"/>
      <c r="O11" s="2"/>
      <c r="P11" s="2"/>
    </row>
    <row r="13" spans="1:19" ht="30" customHeight="1" x14ac:dyDescent="0.25">
      <c r="A13" s="1" t="str">
        <f>TEXT('📅 Semana'!B$8,"DDDD")&amp;"  —  "&amp;TEXT('📅 Semana'!B$8,"DD/MM/")&amp;"2026"</f>
        <v>martes  —  17/02/2026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0" customHeight="1" x14ac:dyDescent="0.25">
      <c r="A14" s="65" t="s">
        <v>85</v>
      </c>
      <c r="B14" s="65" t="s">
        <v>86</v>
      </c>
      <c r="C14" s="65" t="s">
        <v>18</v>
      </c>
      <c r="D14" s="65" t="s">
        <v>87</v>
      </c>
      <c r="E14" s="65" t="s">
        <v>88</v>
      </c>
      <c r="F14" s="65" t="s">
        <v>89</v>
      </c>
      <c r="G14" s="65" t="s">
        <v>13</v>
      </c>
      <c r="H14" s="65" t="s">
        <v>14</v>
      </c>
      <c r="I14" s="65" t="s">
        <v>90</v>
      </c>
      <c r="J14" s="65" t="s">
        <v>91</v>
      </c>
      <c r="K14" s="65" t="s">
        <v>92</v>
      </c>
      <c r="L14" s="65" t="s">
        <v>93</v>
      </c>
      <c r="M14" s="65" t="s">
        <v>94</v>
      </c>
      <c r="N14" s="65" t="s">
        <v>37</v>
      </c>
      <c r="O14" s="65" t="s">
        <v>43</v>
      </c>
      <c r="P14" s="61" t="s">
        <v>95</v>
      </c>
      <c r="Q14" s="61" t="s">
        <v>96</v>
      </c>
      <c r="R14" s="61" t="s">
        <v>97</v>
      </c>
      <c r="S14" s="61" t="s">
        <v>98</v>
      </c>
    </row>
    <row r="15" spans="1:19" ht="15" customHeight="1" x14ac:dyDescent="0.25">
      <c r="A15" s="25" t="str">
        <f>IFERROR(MATCH(1,INDEX(('Registro Incidencias'!AX$5:AX$200="Paco"&amp;TEXT('📅 Semana'!B$8,"YYYYMMDD"))*('Registro Incidencias'!AY$5:AY$200=1),),0),"")</f>
        <v/>
      </c>
      <c r="B15" s="62" t="str">
        <f>IF(A15="","",INDEX('Registro Incidencias'!U$5:U$200,A15))</f>
        <v/>
      </c>
      <c r="C15" s="22" t="str">
        <f>IF(A15="","",INDEX('Registro Incidencias'!L$5:L$200,A15))</f>
        <v/>
      </c>
      <c r="D15" s="22" t="str">
        <f>IF(A15="","",INDEX('Registro Incidencias'!A$5:A$200,A15))</f>
        <v/>
      </c>
      <c r="E15" s="22" t="str">
        <f>IF(A15="","",INDEX('Registro Incidencias'!D$5:D$200,A15))</f>
        <v/>
      </c>
      <c r="F15" s="25" t="str">
        <f>IF(A15="","",INDEX('Registro Incidencias'!F$5:F$200,A15))</f>
        <v/>
      </c>
      <c r="G15" s="25" t="str">
        <f>IF(A15="","",INDEX('Registro Incidencias'!G$5:G$200,A15))</f>
        <v/>
      </c>
      <c r="H15" s="25" t="str">
        <f>IF(A15="","",INDEX('Registro Incidencias'!H$5:H$200,A15))</f>
        <v/>
      </c>
      <c r="I15" s="25" t="str">
        <f>IF(A15="","",INDEX('Registro Incidencias'!O$5:O$200,A15))</f>
        <v/>
      </c>
      <c r="J15" s="25" t="str">
        <f>IF(A15="","",INDEX('Registro Incidencias'!R$5:R$200,A15))</f>
        <v/>
      </c>
      <c r="K15" s="25" t="str">
        <f>IF(A15="","",INDEX('Registro Incidencias'!AF$5:AF$200,A15))</f>
        <v/>
      </c>
      <c r="L15" s="28" t="str">
        <f>IF(A15="","",INDEX('Registro Incidencias'!AI$5:AI$200,A15))</f>
        <v/>
      </c>
      <c r="M15" s="22" t="str">
        <f>IF(A15="","",INDEX('Registro Incidencias'!AD$5:AD$200,A15))</f>
        <v/>
      </c>
      <c r="N15" s="25" t="str">
        <f>IF(A15="","",INDEX('Registro Incidencias'!AE$5:AE$200,A15))</f>
        <v/>
      </c>
      <c r="O15" s="22" t="str">
        <f>IF(A15="","",INDEX('Registro Incidencias'!AK$5:AK$200,A15))</f>
        <v/>
      </c>
      <c r="P15" s="63" t="str">
        <f>IF(A15="","",INDEX('Registro Incidencias'!AU$5:AU$200,A15))</f>
        <v/>
      </c>
      <c r="Q15" s="32" t="str">
        <f>IF(A15="","",INDEX('Registro Incidencias'!AV$5:AV$200,A15))</f>
        <v/>
      </c>
      <c r="R15" s="32"/>
      <c r="S15" s="32"/>
    </row>
    <row r="16" spans="1:19" ht="15" customHeight="1" x14ac:dyDescent="0.25">
      <c r="A16" s="36" t="str">
        <f>IFERROR(MATCH(1,INDEX(('Registro Incidencias'!AX$5:AX$200="Paco"&amp;TEXT('📅 Semana'!B$8,"YYYYMMDD"))*('Registro Incidencias'!AY$5:AY$200=2),),0),"")</f>
        <v/>
      </c>
      <c r="B16" s="64" t="str">
        <f>IF(A16="","",INDEX('Registro Incidencias'!U$5:U$200,A16))</f>
        <v/>
      </c>
      <c r="C16" s="33" t="str">
        <f>IF(A16="","",INDEX('Registro Incidencias'!L$5:L$200,A16))</f>
        <v/>
      </c>
      <c r="D16" s="33" t="str">
        <f>IF(A16="","",INDEX('Registro Incidencias'!A$5:A$200,A16))</f>
        <v/>
      </c>
      <c r="E16" s="33" t="str">
        <f>IF(A16="","",INDEX('Registro Incidencias'!D$5:D$200,A16))</f>
        <v/>
      </c>
      <c r="F16" s="36" t="str">
        <f>IF(A16="","",INDEX('Registro Incidencias'!F$5:F$200,A16))</f>
        <v/>
      </c>
      <c r="G16" s="36" t="str">
        <f>IF(A16="","",INDEX('Registro Incidencias'!G$5:G$200,A16))</f>
        <v/>
      </c>
      <c r="H16" s="36" t="str">
        <f>IF(A16="","",INDEX('Registro Incidencias'!H$5:H$200,A16))</f>
        <v/>
      </c>
      <c r="I16" s="36" t="str">
        <f>IF(A16="","",INDEX('Registro Incidencias'!O$5:O$200,A16))</f>
        <v/>
      </c>
      <c r="J16" s="36" t="str">
        <f>IF(A16="","",INDEX('Registro Incidencias'!R$5:R$200,A16))</f>
        <v/>
      </c>
      <c r="K16" s="36" t="str">
        <f>IF(A16="","",INDEX('Registro Incidencias'!AF$5:AF$200,A16))</f>
        <v/>
      </c>
      <c r="L16" s="39" t="str">
        <f>IF(A16="","",INDEX('Registro Incidencias'!AI$5:AI$200,A16))</f>
        <v/>
      </c>
      <c r="M16" s="33" t="str">
        <f>IF(A16="","",INDEX('Registro Incidencias'!AD$5:AD$200,A16))</f>
        <v/>
      </c>
      <c r="N16" s="36" t="str">
        <f>IF(A16="","",INDEX('Registro Incidencias'!AE$5:AE$200,A16))</f>
        <v/>
      </c>
      <c r="O16" s="33" t="str">
        <f>IF(A16="","",INDEX('Registro Incidencias'!AK$5:AK$200,A16))</f>
        <v/>
      </c>
      <c r="P16" s="63" t="str">
        <f>IF(A16="","",INDEX('Registro Incidencias'!AU$5:AU$200,A16))</f>
        <v/>
      </c>
      <c r="Q16" s="32" t="str">
        <f>IF(A16="","",INDEX('Registro Incidencias'!AV$5:AV$200,A16))</f>
        <v/>
      </c>
      <c r="R16" s="32"/>
      <c r="S16" s="32"/>
    </row>
    <row r="17" spans="1:19" ht="15" customHeight="1" x14ac:dyDescent="0.25">
      <c r="A17" s="25" t="str">
        <f>IFERROR(MATCH(1,INDEX(('Registro Incidencias'!AX$5:AX$200="Paco"&amp;TEXT('📅 Semana'!B$8,"YYYYMMDD"))*('Registro Incidencias'!AY$5:AY$200=3),),0),"")</f>
        <v/>
      </c>
      <c r="B17" s="62" t="str">
        <f>IF(A17="","",INDEX('Registro Incidencias'!U$5:U$200,A17))</f>
        <v/>
      </c>
      <c r="C17" s="22" t="str">
        <f>IF(A17="","",INDEX('Registro Incidencias'!L$5:L$200,A17))</f>
        <v/>
      </c>
      <c r="D17" s="22" t="str">
        <f>IF(A17="","",INDEX('Registro Incidencias'!A$5:A$200,A17))</f>
        <v/>
      </c>
      <c r="E17" s="22" t="str">
        <f>IF(A17="","",INDEX('Registro Incidencias'!D$5:D$200,A17))</f>
        <v/>
      </c>
      <c r="F17" s="25" t="str">
        <f>IF(A17="","",INDEX('Registro Incidencias'!F$5:F$200,A17))</f>
        <v/>
      </c>
      <c r="G17" s="25" t="str">
        <f>IF(A17="","",INDEX('Registro Incidencias'!G$5:G$200,A17))</f>
        <v/>
      </c>
      <c r="H17" s="25" t="str">
        <f>IF(A17="","",INDEX('Registro Incidencias'!H$5:H$200,A17))</f>
        <v/>
      </c>
      <c r="I17" s="25" t="str">
        <f>IF(A17="","",INDEX('Registro Incidencias'!O$5:O$200,A17))</f>
        <v/>
      </c>
      <c r="J17" s="25" t="str">
        <f>IF(A17="","",INDEX('Registro Incidencias'!R$5:R$200,A17))</f>
        <v/>
      </c>
      <c r="K17" s="25" t="str">
        <f>IF(A17="","",INDEX('Registro Incidencias'!AF$5:AF$200,A17))</f>
        <v/>
      </c>
      <c r="L17" s="28" t="str">
        <f>IF(A17="","",INDEX('Registro Incidencias'!AI$5:AI$200,A17))</f>
        <v/>
      </c>
      <c r="M17" s="22" t="str">
        <f>IF(A17="","",INDEX('Registro Incidencias'!AD$5:AD$200,A17))</f>
        <v/>
      </c>
      <c r="N17" s="25" t="str">
        <f>IF(A17="","",INDEX('Registro Incidencias'!AE$5:AE$200,A17))</f>
        <v/>
      </c>
      <c r="O17" s="22" t="str">
        <f>IF(A17="","",INDEX('Registro Incidencias'!AK$5:AK$200,A17))</f>
        <v/>
      </c>
      <c r="P17" s="63" t="str">
        <f>IF(A17="","",INDEX('Registro Incidencias'!AU$5:AU$200,A17))</f>
        <v/>
      </c>
      <c r="Q17" s="32" t="str">
        <f>IF(A17="","",INDEX('Registro Incidencias'!AV$5:AV$200,A17))</f>
        <v/>
      </c>
      <c r="R17" s="32"/>
      <c r="S17" s="32"/>
    </row>
    <row r="18" spans="1:19" ht="15" customHeight="1" x14ac:dyDescent="0.25">
      <c r="A18" s="36" t="str">
        <f>IFERROR(MATCH(1,INDEX(('Registro Incidencias'!AX$5:AX$200="Paco"&amp;TEXT('📅 Semana'!B$8,"YYYYMMDD"))*('Registro Incidencias'!AY$5:AY$200=4),),0),"")</f>
        <v/>
      </c>
      <c r="B18" s="64" t="str">
        <f>IF(A18="","",INDEX('Registro Incidencias'!U$5:U$200,A18))</f>
        <v/>
      </c>
      <c r="C18" s="33" t="str">
        <f>IF(A18="","",INDEX('Registro Incidencias'!L$5:L$200,A18))</f>
        <v/>
      </c>
      <c r="D18" s="33" t="str">
        <f>IF(A18="","",INDEX('Registro Incidencias'!A$5:A$200,A18))</f>
        <v/>
      </c>
      <c r="E18" s="33" t="str">
        <f>IF(A18="","",INDEX('Registro Incidencias'!D$5:D$200,A18))</f>
        <v/>
      </c>
      <c r="F18" s="36" t="str">
        <f>IF(A18="","",INDEX('Registro Incidencias'!F$5:F$200,A18))</f>
        <v/>
      </c>
      <c r="G18" s="36" t="str">
        <f>IF(A18="","",INDEX('Registro Incidencias'!G$5:G$200,A18))</f>
        <v/>
      </c>
      <c r="H18" s="36" t="str">
        <f>IF(A18="","",INDEX('Registro Incidencias'!H$5:H$200,A18))</f>
        <v/>
      </c>
      <c r="I18" s="36" t="str">
        <f>IF(A18="","",INDEX('Registro Incidencias'!O$5:O$200,A18))</f>
        <v/>
      </c>
      <c r="J18" s="36" t="str">
        <f>IF(A18="","",INDEX('Registro Incidencias'!R$5:R$200,A18))</f>
        <v/>
      </c>
      <c r="K18" s="36" t="str">
        <f>IF(A18="","",INDEX('Registro Incidencias'!AF$5:AF$200,A18))</f>
        <v/>
      </c>
      <c r="L18" s="39" t="str">
        <f>IF(A18="","",INDEX('Registro Incidencias'!AI$5:AI$200,A18))</f>
        <v/>
      </c>
      <c r="M18" s="33" t="str">
        <f>IF(A18="","",INDEX('Registro Incidencias'!AD$5:AD$200,A18))</f>
        <v/>
      </c>
      <c r="N18" s="36" t="str">
        <f>IF(A18="","",INDEX('Registro Incidencias'!AE$5:AE$200,A18))</f>
        <v/>
      </c>
      <c r="O18" s="33" t="str">
        <f>IF(A18="","",INDEX('Registro Incidencias'!AK$5:AK$200,A18))</f>
        <v/>
      </c>
      <c r="P18" s="63" t="str">
        <f>IF(A18="","",INDEX('Registro Incidencias'!AU$5:AU$200,A18))</f>
        <v/>
      </c>
      <c r="Q18" s="32" t="str">
        <f>IF(A18="","",INDEX('Registro Incidencias'!AV$5:AV$200,A18))</f>
        <v/>
      </c>
      <c r="R18" s="32"/>
      <c r="S18" s="32"/>
    </row>
    <row r="19" spans="1:19" ht="15" customHeight="1" x14ac:dyDescent="0.25">
      <c r="A19" s="25" t="str">
        <f>IFERROR(MATCH(1,INDEX(('Registro Incidencias'!AX$5:AX$200="Paco"&amp;TEXT('📅 Semana'!B$8,"YYYYMMDD"))*('Registro Incidencias'!AY$5:AY$200=5),),0),"")</f>
        <v/>
      </c>
      <c r="B19" s="62" t="str">
        <f>IF(A19="","",INDEX('Registro Incidencias'!U$5:U$200,A19))</f>
        <v/>
      </c>
      <c r="C19" s="22" t="str">
        <f>IF(A19="","",INDEX('Registro Incidencias'!L$5:L$200,A19))</f>
        <v/>
      </c>
      <c r="D19" s="22" t="str">
        <f>IF(A19="","",INDEX('Registro Incidencias'!A$5:A$200,A19))</f>
        <v/>
      </c>
      <c r="E19" s="22" t="str">
        <f>IF(A19="","",INDEX('Registro Incidencias'!D$5:D$200,A19))</f>
        <v/>
      </c>
      <c r="F19" s="25" t="str">
        <f>IF(A19="","",INDEX('Registro Incidencias'!F$5:F$200,A19))</f>
        <v/>
      </c>
      <c r="G19" s="25" t="str">
        <f>IF(A19="","",INDEX('Registro Incidencias'!G$5:G$200,A19))</f>
        <v/>
      </c>
      <c r="H19" s="25" t="str">
        <f>IF(A19="","",INDEX('Registro Incidencias'!H$5:H$200,A19))</f>
        <v/>
      </c>
      <c r="I19" s="25" t="str">
        <f>IF(A19="","",INDEX('Registro Incidencias'!O$5:O$200,A19))</f>
        <v/>
      </c>
      <c r="J19" s="25" t="str">
        <f>IF(A19="","",INDEX('Registro Incidencias'!R$5:R$200,A19))</f>
        <v/>
      </c>
      <c r="K19" s="25" t="str">
        <f>IF(A19="","",INDEX('Registro Incidencias'!AF$5:AF$200,A19))</f>
        <v/>
      </c>
      <c r="L19" s="28" t="str">
        <f>IF(A19="","",INDEX('Registro Incidencias'!AI$5:AI$200,A19))</f>
        <v/>
      </c>
      <c r="M19" s="22" t="str">
        <f>IF(A19="","",INDEX('Registro Incidencias'!AD$5:AD$200,A19))</f>
        <v/>
      </c>
      <c r="N19" s="25" t="str">
        <f>IF(A19="","",INDEX('Registro Incidencias'!AE$5:AE$200,A19))</f>
        <v/>
      </c>
      <c r="O19" s="22" t="str">
        <f>IF(A19="","",INDEX('Registro Incidencias'!AK$5:AK$200,A19))</f>
        <v/>
      </c>
      <c r="P19" s="63" t="str">
        <f>IF(A19="","",INDEX('Registro Incidencias'!AU$5:AU$200,A19))</f>
        <v/>
      </c>
      <c r="Q19" s="32" t="str">
        <f>IF(A19="","",INDEX('Registro Incidencias'!AV$5:AV$200,A19))</f>
        <v/>
      </c>
      <c r="R19" s="32"/>
      <c r="S19" s="32"/>
    </row>
    <row r="20" spans="1:19" ht="15" customHeight="1" x14ac:dyDescent="0.25">
      <c r="A20" s="36" t="str">
        <f>IFERROR(MATCH(1,INDEX(('Registro Incidencias'!AX$5:AX$200="Paco"&amp;TEXT('📅 Semana'!B$8,"YYYYMMDD"))*('Registro Incidencias'!AY$5:AY$200=6),),0),"")</f>
        <v/>
      </c>
      <c r="B20" s="64" t="str">
        <f>IF(A20="","",INDEX('Registro Incidencias'!U$5:U$200,A20))</f>
        <v/>
      </c>
      <c r="C20" s="33" t="str">
        <f>IF(A20="","",INDEX('Registro Incidencias'!L$5:L$200,A20))</f>
        <v/>
      </c>
      <c r="D20" s="33" t="str">
        <f>IF(A20="","",INDEX('Registro Incidencias'!A$5:A$200,A20))</f>
        <v/>
      </c>
      <c r="E20" s="33" t="str">
        <f>IF(A20="","",INDEX('Registro Incidencias'!D$5:D$200,A20))</f>
        <v/>
      </c>
      <c r="F20" s="36" t="str">
        <f>IF(A20="","",INDEX('Registro Incidencias'!F$5:F$200,A20))</f>
        <v/>
      </c>
      <c r="G20" s="36" t="str">
        <f>IF(A20="","",INDEX('Registro Incidencias'!G$5:G$200,A20))</f>
        <v/>
      </c>
      <c r="H20" s="36" t="str">
        <f>IF(A20="","",INDEX('Registro Incidencias'!H$5:H$200,A20))</f>
        <v/>
      </c>
      <c r="I20" s="36" t="str">
        <f>IF(A20="","",INDEX('Registro Incidencias'!O$5:O$200,A20))</f>
        <v/>
      </c>
      <c r="J20" s="36" t="str">
        <f>IF(A20="","",INDEX('Registro Incidencias'!R$5:R$200,A20))</f>
        <v/>
      </c>
      <c r="K20" s="36" t="str">
        <f>IF(A20="","",INDEX('Registro Incidencias'!AF$5:AF$200,A20))</f>
        <v/>
      </c>
      <c r="L20" s="39" t="str">
        <f>IF(A20="","",INDEX('Registro Incidencias'!AI$5:AI$200,A20))</f>
        <v/>
      </c>
      <c r="M20" s="33" t="str">
        <f>IF(A20="","",INDEX('Registro Incidencias'!AD$5:AD$200,A20))</f>
        <v/>
      </c>
      <c r="N20" s="36" t="str">
        <f>IF(A20="","",INDEX('Registro Incidencias'!AE$5:AE$200,A20))</f>
        <v/>
      </c>
      <c r="O20" s="33" t="str">
        <f>IF(A20="","",INDEX('Registro Incidencias'!AK$5:AK$200,A20))</f>
        <v/>
      </c>
      <c r="P20" s="63" t="str">
        <f>IF(A20="","",INDEX('Registro Incidencias'!AU$5:AU$200,A20))</f>
        <v/>
      </c>
      <c r="Q20" s="32" t="str">
        <f>IF(A20="","",INDEX('Registro Incidencias'!AV$5:AV$200,A20))</f>
        <v/>
      </c>
      <c r="R20" s="32"/>
      <c r="S20" s="32"/>
    </row>
    <row r="21" spans="1:19" ht="21.75" customHeight="1" x14ac:dyDescent="0.25">
      <c r="A21" s="123" t="str">
        <f>COUNTIFS('Registro Incidencias'!S$5:S$200,"Paco",'Registro Incidencias'!T$5:T$200,'📅 Semana'!B$8)&amp;" averías"</f>
        <v>0 averías</v>
      </c>
      <c r="B21" s="123"/>
      <c r="C21" s="123"/>
      <c r="D21" s="123"/>
      <c r="E21" s="123"/>
      <c r="F21" s="123"/>
      <c r="G21" s="123"/>
      <c r="H21" s="123"/>
      <c r="I21" s="123"/>
      <c r="J21" s="2" t="str">
        <f>"Verificadas: "&amp;COUNTIFS(A15:A20,"&lt;&gt;",P15:P20,"&lt;&gt;")&amp;"/"&amp;COUNTIF(A15:A20,"&lt;&gt;")</f>
        <v>Verificadas: 6/6</v>
      </c>
      <c r="K21" s="2"/>
      <c r="L21" s="2"/>
      <c r="M21" s="2"/>
      <c r="N21" s="2"/>
      <c r="O21" s="2"/>
      <c r="P21" s="2"/>
    </row>
    <row r="23" spans="1:19" ht="30" customHeight="1" x14ac:dyDescent="0.25">
      <c r="A23" s="124" t="str">
        <f>TEXT('📅 Semana'!B$9,"DDDD")&amp;"  —  "&amp;TEXT('📅 Semana'!B$9,"DD/MM/")&amp;"2026"</f>
        <v>miércoles  —  18/02/2026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</row>
    <row r="24" spans="1:19" ht="30" customHeight="1" x14ac:dyDescent="0.25">
      <c r="A24" s="66" t="s">
        <v>85</v>
      </c>
      <c r="B24" s="66" t="s">
        <v>86</v>
      </c>
      <c r="C24" s="66" t="s">
        <v>18</v>
      </c>
      <c r="D24" s="66" t="s">
        <v>87</v>
      </c>
      <c r="E24" s="66" t="s">
        <v>88</v>
      </c>
      <c r="F24" s="66" t="s">
        <v>89</v>
      </c>
      <c r="G24" s="66" t="s">
        <v>13</v>
      </c>
      <c r="H24" s="66" t="s">
        <v>14</v>
      </c>
      <c r="I24" s="66" t="s">
        <v>90</v>
      </c>
      <c r="J24" s="66" t="s">
        <v>91</v>
      </c>
      <c r="K24" s="66" t="s">
        <v>92</v>
      </c>
      <c r="L24" s="66" t="s">
        <v>93</v>
      </c>
      <c r="M24" s="66" t="s">
        <v>94</v>
      </c>
      <c r="N24" s="66" t="s">
        <v>37</v>
      </c>
      <c r="O24" s="66" t="s">
        <v>43</v>
      </c>
      <c r="P24" s="61" t="s">
        <v>95</v>
      </c>
      <c r="Q24" s="61" t="s">
        <v>96</v>
      </c>
      <c r="R24" s="61" t="s">
        <v>97</v>
      </c>
      <c r="S24" s="61" t="s">
        <v>98</v>
      </c>
    </row>
    <row r="25" spans="1:19" ht="15" customHeight="1" x14ac:dyDescent="0.25">
      <c r="A25" s="25" t="str">
        <f>IFERROR(MATCH(1,INDEX(('Registro Incidencias'!AX$5:AX$200="Paco"&amp;TEXT('📅 Semana'!B$9,"YYYYMMDD"))*('Registro Incidencias'!AY$5:AY$200=1),),0),"")</f>
        <v/>
      </c>
      <c r="B25" s="62" t="str">
        <f>IF(A25="","",INDEX('Registro Incidencias'!U$5:U$200,A25))</f>
        <v/>
      </c>
      <c r="C25" s="22" t="str">
        <f>IF(A25="","",INDEX('Registro Incidencias'!L$5:L$200,A25))</f>
        <v/>
      </c>
      <c r="D25" s="22" t="str">
        <f>IF(A25="","",INDEX('Registro Incidencias'!A$5:A$200,A25))</f>
        <v/>
      </c>
      <c r="E25" s="22" t="str">
        <f>IF(A25="","",INDEX('Registro Incidencias'!D$5:D$200,A25))</f>
        <v/>
      </c>
      <c r="F25" s="25" t="str">
        <f>IF(A25="","",INDEX('Registro Incidencias'!F$5:F$200,A25))</f>
        <v/>
      </c>
      <c r="G25" s="25" t="str">
        <f>IF(A25="","",INDEX('Registro Incidencias'!G$5:G$200,A25))</f>
        <v/>
      </c>
      <c r="H25" s="25" t="str">
        <f>IF(A25="","",INDEX('Registro Incidencias'!H$5:H$200,A25))</f>
        <v/>
      </c>
      <c r="I25" s="25" t="str">
        <f>IF(A25="","",INDEX('Registro Incidencias'!O$5:O$200,A25))</f>
        <v/>
      </c>
      <c r="J25" s="25" t="str">
        <f>IF(A25="","",INDEX('Registro Incidencias'!R$5:R$200,A25))</f>
        <v/>
      </c>
      <c r="K25" s="25" t="str">
        <f>IF(A25="","",INDEX('Registro Incidencias'!AF$5:AF$200,A25))</f>
        <v/>
      </c>
      <c r="L25" s="28" t="str">
        <f>IF(A25="","",INDEX('Registro Incidencias'!AI$5:AI$200,A25))</f>
        <v/>
      </c>
      <c r="M25" s="22" t="str">
        <f>IF(A25="","",INDEX('Registro Incidencias'!AD$5:AD$200,A25))</f>
        <v/>
      </c>
      <c r="N25" s="25" t="str">
        <f>IF(A25="","",INDEX('Registro Incidencias'!AE$5:AE$200,A25))</f>
        <v/>
      </c>
      <c r="O25" s="22" t="str">
        <f>IF(A25="","",INDEX('Registro Incidencias'!AK$5:AK$200,A25))</f>
        <v/>
      </c>
      <c r="P25" s="63" t="str">
        <f>IF(A25="","",INDEX('Registro Incidencias'!AU$5:AU$200,A25))</f>
        <v/>
      </c>
      <c r="Q25" s="32" t="str">
        <f>IF(A25="","",INDEX('Registro Incidencias'!AV$5:AV$200,A25))</f>
        <v/>
      </c>
      <c r="R25" s="32"/>
      <c r="S25" s="32"/>
    </row>
    <row r="26" spans="1:19" ht="15" customHeight="1" x14ac:dyDescent="0.25">
      <c r="A26" s="36" t="str">
        <f>IFERROR(MATCH(1,INDEX(('Registro Incidencias'!AX$5:AX$200="Paco"&amp;TEXT('📅 Semana'!B$9,"YYYYMMDD"))*('Registro Incidencias'!AY$5:AY$200=2),),0),"")</f>
        <v/>
      </c>
      <c r="B26" s="64" t="str">
        <f>IF(A26="","",INDEX('Registro Incidencias'!U$5:U$200,A26))</f>
        <v/>
      </c>
      <c r="C26" s="33" t="str">
        <f>IF(A26="","",INDEX('Registro Incidencias'!L$5:L$200,A26))</f>
        <v/>
      </c>
      <c r="D26" s="33" t="str">
        <f>IF(A26="","",INDEX('Registro Incidencias'!A$5:A$200,A26))</f>
        <v/>
      </c>
      <c r="E26" s="33" t="str">
        <f>IF(A26="","",INDEX('Registro Incidencias'!D$5:D$200,A26))</f>
        <v/>
      </c>
      <c r="F26" s="36" t="str">
        <f>IF(A26="","",INDEX('Registro Incidencias'!F$5:F$200,A26))</f>
        <v/>
      </c>
      <c r="G26" s="36" t="str">
        <f>IF(A26="","",INDEX('Registro Incidencias'!G$5:G$200,A26))</f>
        <v/>
      </c>
      <c r="H26" s="36" t="str">
        <f>IF(A26="","",INDEX('Registro Incidencias'!H$5:H$200,A26))</f>
        <v/>
      </c>
      <c r="I26" s="36" t="str">
        <f>IF(A26="","",INDEX('Registro Incidencias'!O$5:O$200,A26))</f>
        <v/>
      </c>
      <c r="J26" s="36" t="str">
        <f>IF(A26="","",INDEX('Registro Incidencias'!R$5:R$200,A26))</f>
        <v/>
      </c>
      <c r="K26" s="36" t="str">
        <f>IF(A26="","",INDEX('Registro Incidencias'!AF$5:AF$200,A26))</f>
        <v/>
      </c>
      <c r="L26" s="39" t="str">
        <f>IF(A26="","",INDEX('Registro Incidencias'!AI$5:AI$200,A26))</f>
        <v/>
      </c>
      <c r="M26" s="33" t="str">
        <f>IF(A26="","",INDEX('Registro Incidencias'!AD$5:AD$200,A26))</f>
        <v/>
      </c>
      <c r="N26" s="36" t="str">
        <f>IF(A26="","",INDEX('Registro Incidencias'!AE$5:AE$200,A26))</f>
        <v/>
      </c>
      <c r="O26" s="33" t="str">
        <f>IF(A26="","",INDEX('Registro Incidencias'!AK$5:AK$200,A26))</f>
        <v/>
      </c>
      <c r="P26" s="63" t="str">
        <f>IF(A26="","",INDEX('Registro Incidencias'!AU$5:AU$200,A26))</f>
        <v/>
      </c>
      <c r="Q26" s="32" t="str">
        <f>IF(A26="","",INDEX('Registro Incidencias'!AV$5:AV$200,A26))</f>
        <v/>
      </c>
      <c r="R26" s="32"/>
      <c r="S26" s="32"/>
    </row>
    <row r="27" spans="1:19" ht="15" customHeight="1" x14ac:dyDescent="0.25">
      <c r="A27" s="25" t="str">
        <f>IFERROR(MATCH(1,INDEX(('Registro Incidencias'!AX$5:AX$200="Paco"&amp;TEXT('📅 Semana'!B$9,"YYYYMMDD"))*('Registro Incidencias'!AY$5:AY$200=3),),0),"")</f>
        <v/>
      </c>
      <c r="B27" s="62" t="str">
        <f>IF(A27="","",INDEX('Registro Incidencias'!U$5:U$200,A27))</f>
        <v/>
      </c>
      <c r="C27" s="22" t="str">
        <f>IF(A27="","",INDEX('Registro Incidencias'!L$5:L$200,A27))</f>
        <v/>
      </c>
      <c r="D27" s="22" t="str">
        <f>IF(A27="","",INDEX('Registro Incidencias'!A$5:A$200,A27))</f>
        <v/>
      </c>
      <c r="E27" s="22" t="str">
        <f>IF(A27="","",INDEX('Registro Incidencias'!D$5:D$200,A27))</f>
        <v/>
      </c>
      <c r="F27" s="25" t="str">
        <f>IF(A27="","",INDEX('Registro Incidencias'!F$5:F$200,A27))</f>
        <v/>
      </c>
      <c r="G27" s="25" t="str">
        <f>IF(A27="","",INDEX('Registro Incidencias'!G$5:G$200,A27))</f>
        <v/>
      </c>
      <c r="H27" s="25" t="str">
        <f>IF(A27="","",INDEX('Registro Incidencias'!H$5:H$200,A27))</f>
        <v/>
      </c>
      <c r="I27" s="25" t="str">
        <f>IF(A27="","",INDEX('Registro Incidencias'!O$5:O$200,A27))</f>
        <v/>
      </c>
      <c r="J27" s="25" t="str">
        <f>IF(A27="","",INDEX('Registro Incidencias'!R$5:R$200,A27))</f>
        <v/>
      </c>
      <c r="K27" s="25" t="str">
        <f>IF(A27="","",INDEX('Registro Incidencias'!AF$5:AF$200,A27))</f>
        <v/>
      </c>
      <c r="L27" s="28" t="str">
        <f>IF(A27="","",INDEX('Registro Incidencias'!AI$5:AI$200,A27))</f>
        <v/>
      </c>
      <c r="M27" s="22" t="str">
        <f>IF(A27="","",INDEX('Registro Incidencias'!AD$5:AD$200,A27))</f>
        <v/>
      </c>
      <c r="N27" s="25" t="str">
        <f>IF(A27="","",INDEX('Registro Incidencias'!AE$5:AE$200,A27))</f>
        <v/>
      </c>
      <c r="O27" s="22" t="str">
        <f>IF(A27="","",INDEX('Registro Incidencias'!AK$5:AK$200,A27))</f>
        <v/>
      </c>
      <c r="P27" s="63" t="str">
        <f>IF(A27="","",INDEX('Registro Incidencias'!AU$5:AU$200,A27))</f>
        <v/>
      </c>
      <c r="Q27" s="32" t="str">
        <f>IF(A27="","",INDEX('Registro Incidencias'!AV$5:AV$200,A27))</f>
        <v/>
      </c>
      <c r="R27" s="32"/>
      <c r="S27" s="32"/>
    </row>
    <row r="28" spans="1:19" ht="15" customHeight="1" x14ac:dyDescent="0.25">
      <c r="A28" s="36" t="str">
        <f>IFERROR(MATCH(1,INDEX(('Registro Incidencias'!AX$5:AX$200="Paco"&amp;TEXT('📅 Semana'!B$9,"YYYYMMDD"))*('Registro Incidencias'!AY$5:AY$200=4),),0),"")</f>
        <v/>
      </c>
      <c r="B28" s="64" t="str">
        <f>IF(A28="","",INDEX('Registro Incidencias'!U$5:U$200,A28))</f>
        <v/>
      </c>
      <c r="C28" s="33" t="str">
        <f>IF(A28="","",INDEX('Registro Incidencias'!L$5:L$200,A28))</f>
        <v/>
      </c>
      <c r="D28" s="33" t="str">
        <f>IF(A28="","",INDEX('Registro Incidencias'!A$5:A$200,A28))</f>
        <v/>
      </c>
      <c r="E28" s="33" t="str">
        <f>IF(A28="","",INDEX('Registro Incidencias'!D$5:D$200,A28))</f>
        <v/>
      </c>
      <c r="F28" s="36" t="str">
        <f>IF(A28="","",INDEX('Registro Incidencias'!F$5:F$200,A28))</f>
        <v/>
      </c>
      <c r="G28" s="36" t="str">
        <f>IF(A28="","",INDEX('Registro Incidencias'!G$5:G$200,A28))</f>
        <v/>
      </c>
      <c r="H28" s="36" t="str">
        <f>IF(A28="","",INDEX('Registro Incidencias'!H$5:H$200,A28))</f>
        <v/>
      </c>
      <c r="I28" s="36" t="str">
        <f>IF(A28="","",INDEX('Registro Incidencias'!O$5:O$200,A28))</f>
        <v/>
      </c>
      <c r="J28" s="36" t="str">
        <f>IF(A28="","",INDEX('Registro Incidencias'!R$5:R$200,A28))</f>
        <v/>
      </c>
      <c r="K28" s="36" t="str">
        <f>IF(A28="","",INDEX('Registro Incidencias'!AF$5:AF$200,A28))</f>
        <v/>
      </c>
      <c r="L28" s="39" t="str">
        <f>IF(A28="","",INDEX('Registro Incidencias'!AI$5:AI$200,A28))</f>
        <v/>
      </c>
      <c r="M28" s="33" t="str">
        <f>IF(A28="","",INDEX('Registro Incidencias'!AD$5:AD$200,A28))</f>
        <v/>
      </c>
      <c r="N28" s="36" t="str">
        <f>IF(A28="","",INDEX('Registro Incidencias'!AE$5:AE$200,A28))</f>
        <v/>
      </c>
      <c r="O28" s="33" t="str">
        <f>IF(A28="","",INDEX('Registro Incidencias'!AK$5:AK$200,A28))</f>
        <v/>
      </c>
      <c r="P28" s="63" t="str">
        <f>IF(A28="","",INDEX('Registro Incidencias'!AU$5:AU$200,A28))</f>
        <v/>
      </c>
      <c r="Q28" s="32" t="str">
        <f>IF(A28="","",INDEX('Registro Incidencias'!AV$5:AV$200,A28))</f>
        <v/>
      </c>
      <c r="R28" s="32"/>
      <c r="S28" s="32"/>
    </row>
    <row r="29" spans="1:19" ht="15" customHeight="1" x14ac:dyDescent="0.25">
      <c r="A29" s="25" t="str">
        <f>IFERROR(MATCH(1,INDEX(('Registro Incidencias'!AX$5:AX$200="Paco"&amp;TEXT('📅 Semana'!B$9,"YYYYMMDD"))*('Registro Incidencias'!AY$5:AY$200=5),),0),"")</f>
        <v/>
      </c>
      <c r="B29" s="62" t="str">
        <f>IF(A29="","",INDEX('Registro Incidencias'!U$5:U$200,A29))</f>
        <v/>
      </c>
      <c r="C29" s="22" t="str">
        <f>IF(A29="","",INDEX('Registro Incidencias'!L$5:L$200,A29))</f>
        <v/>
      </c>
      <c r="D29" s="22" t="str">
        <f>IF(A29="","",INDEX('Registro Incidencias'!A$5:A$200,A29))</f>
        <v/>
      </c>
      <c r="E29" s="22" t="str">
        <f>IF(A29="","",INDEX('Registro Incidencias'!D$5:D$200,A29))</f>
        <v/>
      </c>
      <c r="F29" s="25" t="str">
        <f>IF(A29="","",INDEX('Registro Incidencias'!F$5:F$200,A29))</f>
        <v/>
      </c>
      <c r="G29" s="25" t="str">
        <f>IF(A29="","",INDEX('Registro Incidencias'!G$5:G$200,A29))</f>
        <v/>
      </c>
      <c r="H29" s="25" t="str">
        <f>IF(A29="","",INDEX('Registro Incidencias'!H$5:H$200,A29))</f>
        <v/>
      </c>
      <c r="I29" s="25" t="str">
        <f>IF(A29="","",INDEX('Registro Incidencias'!O$5:O$200,A29))</f>
        <v/>
      </c>
      <c r="J29" s="25" t="str">
        <f>IF(A29="","",INDEX('Registro Incidencias'!R$5:R$200,A29))</f>
        <v/>
      </c>
      <c r="K29" s="25" t="str">
        <f>IF(A29="","",INDEX('Registro Incidencias'!AF$5:AF$200,A29))</f>
        <v/>
      </c>
      <c r="L29" s="28" t="str">
        <f>IF(A29="","",INDEX('Registro Incidencias'!AI$5:AI$200,A29))</f>
        <v/>
      </c>
      <c r="M29" s="22" t="str">
        <f>IF(A29="","",INDEX('Registro Incidencias'!AD$5:AD$200,A29))</f>
        <v/>
      </c>
      <c r="N29" s="25" t="str">
        <f>IF(A29="","",INDEX('Registro Incidencias'!AE$5:AE$200,A29))</f>
        <v/>
      </c>
      <c r="O29" s="22" t="str">
        <f>IF(A29="","",INDEX('Registro Incidencias'!AK$5:AK$200,A29))</f>
        <v/>
      </c>
      <c r="P29" s="63" t="str">
        <f>IF(A29="","",INDEX('Registro Incidencias'!AU$5:AU$200,A29))</f>
        <v/>
      </c>
      <c r="Q29" s="32" t="str">
        <f>IF(A29="","",INDEX('Registro Incidencias'!AV$5:AV$200,A29))</f>
        <v/>
      </c>
      <c r="R29" s="32"/>
      <c r="S29" s="32"/>
    </row>
    <row r="30" spans="1:19" ht="15" customHeight="1" x14ac:dyDescent="0.25">
      <c r="A30" s="36" t="str">
        <f>IFERROR(MATCH(1,INDEX(('Registro Incidencias'!AX$5:AX$200="Paco"&amp;TEXT('📅 Semana'!B$9,"YYYYMMDD"))*('Registro Incidencias'!AY$5:AY$200=6),),0),"")</f>
        <v/>
      </c>
      <c r="B30" s="64" t="str">
        <f>IF(A30="","",INDEX('Registro Incidencias'!U$5:U$200,A30))</f>
        <v/>
      </c>
      <c r="C30" s="33" t="str">
        <f>IF(A30="","",INDEX('Registro Incidencias'!L$5:L$200,A30))</f>
        <v/>
      </c>
      <c r="D30" s="33" t="str">
        <f>IF(A30="","",INDEX('Registro Incidencias'!A$5:A$200,A30))</f>
        <v/>
      </c>
      <c r="E30" s="33" t="str">
        <f>IF(A30="","",INDEX('Registro Incidencias'!D$5:D$200,A30))</f>
        <v/>
      </c>
      <c r="F30" s="36" t="str">
        <f>IF(A30="","",INDEX('Registro Incidencias'!F$5:F$200,A30))</f>
        <v/>
      </c>
      <c r="G30" s="36" t="str">
        <f>IF(A30="","",INDEX('Registro Incidencias'!G$5:G$200,A30))</f>
        <v/>
      </c>
      <c r="H30" s="36" t="str">
        <f>IF(A30="","",INDEX('Registro Incidencias'!H$5:H$200,A30))</f>
        <v/>
      </c>
      <c r="I30" s="36" t="str">
        <f>IF(A30="","",INDEX('Registro Incidencias'!O$5:O$200,A30))</f>
        <v/>
      </c>
      <c r="J30" s="36" t="str">
        <f>IF(A30="","",INDEX('Registro Incidencias'!R$5:R$200,A30))</f>
        <v/>
      </c>
      <c r="K30" s="36" t="str">
        <f>IF(A30="","",INDEX('Registro Incidencias'!AF$5:AF$200,A30))</f>
        <v/>
      </c>
      <c r="L30" s="39" t="str">
        <f>IF(A30="","",INDEX('Registro Incidencias'!AI$5:AI$200,A30))</f>
        <v/>
      </c>
      <c r="M30" s="33" t="str">
        <f>IF(A30="","",INDEX('Registro Incidencias'!AD$5:AD$200,A30))</f>
        <v/>
      </c>
      <c r="N30" s="36" t="str">
        <f>IF(A30="","",INDEX('Registro Incidencias'!AE$5:AE$200,A30))</f>
        <v/>
      </c>
      <c r="O30" s="33" t="str">
        <f>IF(A30="","",INDEX('Registro Incidencias'!AK$5:AK$200,A30))</f>
        <v/>
      </c>
      <c r="P30" s="63" t="str">
        <f>IF(A30="","",INDEX('Registro Incidencias'!AU$5:AU$200,A30))</f>
        <v/>
      </c>
      <c r="Q30" s="32" t="str">
        <f>IF(A30="","",INDEX('Registro Incidencias'!AV$5:AV$200,A30))</f>
        <v/>
      </c>
      <c r="R30" s="32"/>
      <c r="S30" s="32"/>
    </row>
    <row r="31" spans="1:19" ht="21.75" customHeight="1" x14ac:dyDescent="0.25">
      <c r="A31" s="125" t="str">
        <f>COUNTIFS('Registro Incidencias'!S$5:S$200,"Paco",'Registro Incidencias'!T$5:T$200,'📅 Semana'!B$9)&amp;" averías"</f>
        <v>0 averías</v>
      </c>
      <c r="B31" s="125"/>
      <c r="C31" s="125"/>
      <c r="D31" s="125"/>
      <c r="E31" s="125"/>
      <c r="F31" s="125"/>
      <c r="G31" s="125"/>
      <c r="H31" s="125"/>
      <c r="I31" s="125"/>
      <c r="J31" s="2" t="str">
        <f>"Verificadas: "&amp;COUNTIFS(A25:A30,"&lt;&gt;",P25:P30,"&lt;&gt;")&amp;"/"&amp;COUNTIF(A25:A30,"&lt;&gt;")</f>
        <v>Verificadas: 6/6</v>
      </c>
      <c r="K31" s="2"/>
      <c r="L31" s="2"/>
      <c r="M31" s="2"/>
      <c r="N31" s="2"/>
      <c r="O31" s="2"/>
      <c r="P31" s="2"/>
    </row>
    <row r="33" spans="1:19" ht="30" customHeight="1" x14ac:dyDescent="0.25">
      <c r="A33" s="126" t="str">
        <f>TEXT('📅 Semana'!B$10,"DDDD")&amp;"  —  "&amp;TEXT('📅 Semana'!B$10,"DD/MM/")&amp;"2026"</f>
        <v>jueves  —  19/02/2026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</row>
    <row r="34" spans="1:19" ht="30" customHeight="1" x14ac:dyDescent="0.25">
      <c r="A34" s="67" t="s">
        <v>85</v>
      </c>
      <c r="B34" s="67" t="s">
        <v>86</v>
      </c>
      <c r="C34" s="67" t="s">
        <v>18</v>
      </c>
      <c r="D34" s="67" t="s">
        <v>87</v>
      </c>
      <c r="E34" s="67" t="s">
        <v>88</v>
      </c>
      <c r="F34" s="67" t="s">
        <v>89</v>
      </c>
      <c r="G34" s="67" t="s">
        <v>13</v>
      </c>
      <c r="H34" s="67" t="s">
        <v>14</v>
      </c>
      <c r="I34" s="67" t="s">
        <v>90</v>
      </c>
      <c r="J34" s="67" t="s">
        <v>91</v>
      </c>
      <c r="K34" s="67" t="s">
        <v>92</v>
      </c>
      <c r="L34" s="67" t="s">
        <v>93</v>
      </c>
      <c r="M34" s="67" t="s">
        <v>94</v>
      </c>
      <c r="N34" s="67" t="s">
        <v>37</v>
      </c>
      <c r="O34" s="67" t="s">
        <v>43</v>
      </c>
      <c r="P34" s="61" t="s">
        <v>95</v>
      </c>
      <c r="Q34" s="61" t="s">
        <v>96</v>
      </c>
      <c r="R34" s="61" t="s">
        <v>97</v>
      </c>
      <c r="S34" s="61" t="s">
        <v>98</v>
      </c>
    </row>
    <row r="35" spans="1:19" ht="15" customHeight="1" x14ac:dyDescent="0.25">
      <c r="A35" s="25" t="str">
        <f>IFERROR(MATCH(1,INDEX(('Registro Incidencias'!AX$5:AX$200="Paco"&amp;TEXT('📅 Semana'!B$10,"YYYYMMDD"))*('Registro Incidencias'!AY$5:AY$200=1),),0),"")</f>
        <v/>
      </c>
      <c r="B35" s="62" t="str">
        <f>IF(A35="","",INDEX('Registro Incidencias'!U$5:U$200,A35))</f>
        <v/>
      </c>
      <c r="C35" s="22" t="str">
        <f>IF(A35="","",INDEX('Registro Incidencias'!L$5:L$200,A35))</f>
        <v/>
      </c>
      <c r="D35" s="22" t="str">
        <f>IF(A35="","",INDEX('Registro Incidencias'!A$5:A$200,A35))</f>
        <v/>
      </c>
      <c r="E35" s="22" t="str">
        <f>IF(A35="","",INDEX('Registro Incidencias'!D$5:D$200,A35))</f>
        <v/>
      </c>
      <c r="F35" s="25" t="str">
        <f>IF(A35="","",INDEX('Registro Incidencias'!F$5:F$200,A35))</f>
        <v/>
      </c>
      <c r="G35" s="25" t="str">
        <f>IF(A35="","",INDEX('Registro Incidencias'!G$5:G$200,A35))</f>
        <v/>
      </c>
      <c r="H35" s="25" t="str">
        <f>IF(A35="","",INDEX('Registro Incidencias'!H$5:H$200,A35))</f>
        <v/>
      </c>
      <c r="I35" s="25" t="str">
        <f>IF(A35="","",INDEX('Registro Incidencias'!O$5:O$200,A35))</f>
        <v/>
      </c>
      <c r="J35" s="25" t="str">
        <f>IF(A35="","",INDEX('Registro Incidencias'!R$5:R$200,A35))</f>
        <v/>
      </c>
      <c r="K35" s="25" t="str">
        <f>IF(A35="","",INDEX('Registro Incidencias'!AF$5:AF$200,A35))</f>
        <v/>
      </c>
      <c r="L35" s="28" t="str">
        <f>IF(A35="","",INDEX('Registro Incidencias'!AI$5:AI$200,A35))</f>
        <v/>
      </c>
      <c r="M35" s="22" t="str">
        <f>IF(A35="","",INDEX('Registro Incidencias'!AD$5:AD$200,A35))</f>
        <v/>
      </c>
      <c r="N35" s="25" t="str">
        <f>IF(A35="","",INDEX('Registro Incidencias'!AE$5:AE$200,A35))</f>
        <v/>
      </c>
      <c r="O35" s="22" t="str">
        <f>IF(A35="","",INDEX('Registro Incidencias'!AK$5:AK$200,A35))</f>
        <v/>
      </c>
      <c r="P35" s="63" t="str">
        <f>IF(A35="","",INDEX('Registro Incidencias'!AU$5:AU$200,A35))</f>
        <v/>
      </c>
      <c r="Q35" s="32" t="str">
        <f>IF(A35="","",INDEX('Registro Incidencias'!AV$5:AV$200,A35))</f>
        <v/>
      </c>
      <c r="R35" s="32"/>
      <c r="S35" s="32"/>
    </row>
    <row r="36" spans="1:19" ht="15" customHeight="1" x14ac:dyDescent="0.25">
      <c r="A36" s="36" t="str">
        <f>IFERROR(MATCH(1,INDEX(('Registro Incidencias'!AX$5:AX$200="Paco"&amp;TEXT('📅 Semana'!B$10,"YYYYMMDD"))*('Registro Incidencias'!AY$5:AY$200=2),),0),"")</f>
        <v/>
      </c>
      <c r="B36" s="64" t="str">
        <f>IF(A36="","",INDEX('Registro Incidencias'!U$5:U$200,A36))</f>
        <v/>
      </c>
      <c r="C36" s="33" t="str">
        <f>IF(A36="","",INDEX('Registro Incidencias'!L$5:L$200,A36))</f>
        <v/>
      </c>
      <c r="D36" s="33" t="str">
        <f>IF(A36="","",INDEX('Registro Incidencias'!A$5:A$200,A36))</f>
        <v/>
      </c>
      <c r="E36" s="33" t="str">
        <f>IF(A36="","",INDEX('Registro Incidencias'!D$5:D$200,A36))</f>
        <v/>
      </c>
      <c r="F36" s="36" t="str">
        <f>IF(A36="","",INDEX('Registro Incidencias'!F$5:F$200,A36))</f>
        <v/>
      </c>
      <c r="G36" s="36" t="str">
        <f>IF(A36="","",INDEX('Registro Incidencias'!G$5:G$200,A36))</f>
        <v/>
      </c>
      <c r="H36" s="36" t="str">
        <f>IF(A36="","",INDEX('Registro Incidencias'!H$5:H$200,A36))</f>
        <v/>
      </c>
      <c r="I36" s="36" t="str">
        <f>IF(A36="","",INDEX('Registro Incidencias'!O$5:O$200,A36))</f>
        <v/>
      </c>
      <c r="J36" s="36" t="str">
        <f>IF(A36="","",INDEX('Registro Incidencias'!R$5:R$200,A36))</f>
        <v/>
      </c>
      <c r="K36" s="36" t="str">
        <f>IF(A36="","",INDEX('Registro Incidencias'!AF$5:AF$200,A36))</f>
        <v/>
      </c>
      <c r="L36" s="39" t="str">
        <f>IF(A36="","",INDEX('Registro Incidencias'!AI$5:AI$200,A36))</f>
        <v/>
      </c>
      <c r="M36" s="33" t="str">
        <f>IF(A36="","",INDEX('Registro Incidencias'!AD$5:AD$200,A36))</f>
        <v/>
      </c>
      <c r="N36" s="36" t="str">
        <f>IF(A36="","",INDEX('Registro Incidencias'!AE$5:AE$200,A36))</f>
        <v/>
      </c>
      <c r="O36" s="33" t="str">
        <f>IF(A36="","",INDEX('Registro Incidencias'!AK$5:AK$200,A36))</f>
        <v/>
      </c>
      <c r="P36" s="63" t="str">
        <f>IF(A36="","",INDEX('Registro Incidencias'!AU$5:AU$200,A36))</f>
        <v/>
      </c>
      <c r="Q36" s="32" t="str">
        <f>IF(A36="","",INDEX('Registro Incidencias'!AV$5:AV$200,A36))</f>
        <v/>
      </c>
      <c r="R36" s="32"/>
      <c r="S36" s="32"/>
    </row>
    <row r="37" spans="1:19" ht="15" customHeight="1" x14ac:dyDescent="0.25">
      <c r="A37" s="25" t="str">
        <f>IFERROR(MATCH(1,INDEX(('Registro Incidencias'!AX$5:AX$200="Paco"&amp;TEXT('📅 Semana'!B$10,"YYYYMMDD"))*('Registro Incidencias'!AY$5:AY$200=3),),0),"")</f>
        <v/>
      </c>
      <c r="B37" s="62" t="str">
        <f>IF(A37="","",INDEX('Registro Incidencias'!U$5:U$200,A37))</f>
        <v/>
      </c>
      <c r="C37" s="22" t="str">
        <f>IF(A37="","",INDEX('Registro Incidencias'!L$5:L$200,A37))</f>
        <v/>
      </c>
      <c r="D37" s="22" t="str">
        <f>IF(A37="","",INDEX('Registro Incidencias'!A$5:A$200,A37))</f>
        <v/>
      </c>
      <c r="E37" s="22" t="str">
        <f>IF(A37="","",INDEX('Registro Incidencias'!D$5:D$200,A37))</f>
        <v/>
      </c>
      <c r="F37" s="25" t="str">
        <f>IF(A37="","",INDEX('Registro Incidencias'!F$5:F$200,A37))</f>
        <v/>
      </c>
      <c r="G37" s="25" t="str">
        <f>IF(A37="","",INDEX('Registro Incidencias'!G$5:G$200,A37))</f>
        <v/>
      </c>
      <c r="H37" s="25" t="str">
        <f>IF(A37="","",INDEX('Registro Incidencias'!H$5:H$200,A37))</f>
        <v/>
      </c>
      <c r="I37" s="25" t="str">
        <f>IF(A37="","",INDEX('Registro Incidencias'!O$5:O$200,A37))</f>
        <v/>
      </c>
      <c r="J37" s="25" t="str">
        <f>IF(A37="","",INDEX('Registro Incidencias'!R$5:R$200,A37))</f>
        <v/>
      </c>
      <c r="K37" s="25" t="str">
        <f>IF(A37="","",INDEX('Registro Incidencias'!AF$5:AF$200,A37))</f>
        <v/>
      </c>
      <c r="L37" s="28" t="str">
        <f>IF(A37="","",INDEX('Registro Incidencias'!AI$5:AI$200,A37))</f>
        <v/>
      </c>
      <c r="M37" s="22" t="str">
        <f>IF(A37="","",INDEX('Registro Incidencias'!AD$5:AD$200,A37))</f>
        <v/>
      </c>
      <c r="N37" s="25" t="str">
        <f>IF(A37="","",INDEX('Registro Incidencias'!AE$5:AE$200,A37))</f>
        <v/>
      </c>
      <c r="O37" s="22" t="str">
        <f>IF(A37="","",INDEX('Registro Incidencias'!AK$5:AK$200,A37))</f>
        <v/>
      </c>
      <c r="P37" s="63" t="str">
        <f>IF(A37="","",INDEX('Registro Incidencias'!AU$5:AU$200,A37))</f>
        <v/>
      </c>
      <c r="Q37" s="32" t="str">
        <f>IF(A37="","",INDEX('Registro Incidencias'!AV$5:AV$200,A37))</f>
        <v/>
      </c>
      <c r="R37" s="32"/>
      <c r="S37" s="32"/>
    </row>
    <row r="38" spans="1:19" ht="15" customHeight="1" x14ac:dyDescent="0.25">
      <c r="A38" s="36" t="str">
        <f>IFERROR(MATCH(1,INDEX(('Registro Incidencias'!AX$5:AX$200="Paco"&amp;TEXT('📅 Semana'!B$10,"YYYYMMDD"))*('Registro Incidencias'!AY$5:AY$200=4),),0),"")</f>
        <v/>
      </c>
      <c r="B38" s="64" t="str">
        <f>IF(A38="","",INDEX('Registro Incidencias'!U$5:U$200,A38))</f>
        <v/>
      </c>
      <c r="C38" s="33" t="str">
        <f>IF(A38="","",INDEX('Registro Incidencias'!L$5:L$200,A38))</f>
        <v/>
      </c>
      <c r="D38" s="33" t="str">
        <f>IF(A38="","",INDEX('Registro Incidencias'!A$5:A$200,A38))</f>
        <v/>
      </c>
      <c r="E38" s="33" t="str">
        <f>IF(A38="","",INDEX('Registro Incidencias'!D$5:D$200,A38))</f>
        <v/>
      </c>
      <c r="F38" s="36" t="str">
        <f>IF(A38="","",INDEX('Registro Incidencias'!F$5:F$200,A38))</f>
        <v/>
      </c>
      <c r="G38" s="36" t="str">
        <f>IF(A38="","",INDEX('Registro Incidencias'!G$5:G$200,A38))</f>
        <v/>
      </c>
      <c r="H38" s="36" t="str">
        <f>IF(A38="","",INDEX('Registro Incidencias'!H$5:H$200,A38))</f>
        <v/>
      </c>
      <c r="I38" s="36" t="str">
        <f>IF(A38="","",INDEX('Registro Incidencias'!O$5:O$200,A38))</f>
        <v/>
      </c>
      <c r="J38" s="36" t="str">
        <f>IF(A38="","",INDEX('Registro Incidencias'!R$5:R$200,A38))</f>
        <v/>
      </c>
      <c r="K38" s="36" t="str">
        <f>IF(A38="","",INDEX('Registro Incidencias'!AF$5:AF$200,A38))</f>
        <v/>
      </c>
      <c r="L38" s="39" t="str">
        <f>IF(A38="","",INDEX('Registro Incidencias'!AI$5:AI$200,A38))</f>
        <v/>
      </c>
      <c r="M38" s="33" t="str">
        <f>IF(A38="","",INDEX('Registro Incidencias'!AD$5:AD$200,A38))</f>
        <v/>
      </c>
      <c r="N38" s="36" t="str">
        <f>IF(A38="","",INDEX('Registro Incidencias'!AE$5:AE$200,A38))</f>
        <v/>
      </c>
      <c r="O38" s="33" t="str">
        <f>IF(A38="","",INDEX('Registro Incidencias'!AK$5:AK$200,A38))</f>
        <v/>
      </c>
      <c r="P38" s="63" t="str">
        <f>IF(A38="","",INDEX('Registro Incidencias'!AU$5:AU$200,A38))</f>
        <v/>
      </c>
      <c r="Q38" s="32" t="str">
        <f>IF(A38="","",INDEX('Registro Incidencias'!AV$5:AV$200,A38))</f>
        <v/>
      </c>
      <c r="R38" s="32"/>
      <c r="S38" s="32"/>
    </row>
    <row r="39" spans="1:19" ht="15" customHeight="1" x14ac:dyDescent="0.25">
      <c r="A39" s="25" t="str">
        <f>IFERROR(MATCH(1,INDEX(('Registro Incidencias'!AX$5:AX$200="Paco"&amp;TEXT('📅 Semana'!B$10,"YYYYMMDD"))*('Registro Incidencias'!AY$5:AY$200=5),),0),"")</f>
        <v/>
      </c>
      <c r="B39" s="62" t="str">
        <f>IF(A39="","",INDEX('Registro Incidencias'!U$5:U$200,A39))</f>
        <v/>
      </c>
      <c r="C39" s="22" t="str">
        <f>IF(A39="","",INDEX('Registro Incidencias'!L$5:L$200,A39))</f>
        <v/>
      </c>
      <c r="D39" s="22" t="str">
        <f>IF(A39="","",INDEX('Registro Incidencias'!A$5:A$200,A39))</f>
        <v/>
      </c>
      <c r="E39" s="22" t="str">
        <f>IF(A39="","",INDEX('Registro Incidencias'!D$5:D$200,A39))</f>
        <v/>
      </c>
      <c r="F39" s="25" t="str">
        <f>IF(A39="","",INDEX('Registro Incidencias'!F$5:F$200,A39))</f>
        <v/>
      </c>
      <c r="G39" s="25" t="str">
        <f>IF(A39="","",INDEX('Registro Incidencias'!G$5:G$200,A39))</f>
        <v/>
      </c>
      <c r="H39" s="25" t="str">
        <f>IF(A39="","",INDEX('Registro Incidencias'!H$5:H$200,A39))</f>
        <v/>
      </c>
      <c r="I39" s="25" t="str">
        <f>IF(A39="","",INDEX('Registro Incidencias'!O$5:O$200,A39))</f>
        <v/>
      </c>
      <c r="J39" s="25" t="str">
        <f>IF(A39="","",INDEX('Registro Incidencias'!R$5:R$200,A39))</f>
        <v/>
      </c>
      <c r="K39" s="25" t="str">
        <f>IF(A39="","",INDEX('Registro Incidencias'!AF$5:AF$200,A39))</f>
        <v/>
      </c>
      <c r="L39" s="28" t="str">
        <f>IF(A39="","",INDEX('Registro Incidencias'!AI$5:AI$200,A39))</f>
        <v/>
      </c>
      <c r="M39" s="22" t="str">
        <f>IF(A39="","",INDEX('Registro Incidencias'!AD$5:AD$200,A39))</f>
        <v/>
      </c>
      <c r="N39" s="25" t="str">
        <f>IF(A39="","",INDEX('Registro Incidencias'!AE$5:AE$200,A39))</f>
        <v/>
      </c>
      <c r="O39" s="22" t="str">
        <f>IF(A39="","",INDEX('Registro Incidencias'!AK$5:AK$200,A39))</f>
        <v/>
      </c>
      <c r="P39" s="63" t="str">
        <f>IF(A39="","",INDEX('Registro Incidencias'!AU$5:AU$200,A39))</f>
        <v/>
      </c>
      <c r="Q39" s="32" t="str">
        <f>IF(A39="","",INDEX('Registro Incidencias'!AV$5:AV$200,A39))</f>
        <v/>
      </c>
      <c r="R39" s="32"/>
      <c r="S39" s="32"/>
    </row>
    <row r="40" spans="1:19" ht="15" customHeight="1" x14ac:dyDescent="0.25">
      <c r="A40" s="36" t="str">
        <f>IFERROR(MATCH(1,INDEX(('Registro Incidencias'!AX$5:AX$200="Paco"&amp;TEXT('📅 Semana'!B$10,"YYYYMMDD"))*('Registro Incidencias'!AY$5:AY$200=6),),0),"")</f>
        <v/>
      </c>
      <c r="B40" s="64" t="str">
        <f>IF(A40="","",INDEX('Registro Incidencias'!U$5:U$200,A40))</f>
        <v/>
      </c>
      <c r="C40" s="33" t="str">
        <f>IF(A40="","",INDEX('Registro Incidencias'!L$5:L$200,A40))</f>
        <v/>
      </c>
      <c r="D40" s="33" t="str">
        <f>IF(A40="","",INDEX('Registro Incidencias'!A$5:A$200,A40))</f>
        <v/>
      </c>
      <c r="E40" s="33" t="str">
        <f>IF(A40="","",INDEX('Registro Incidencias'!D$5:D$200,A40))</f>
        <v/>
      </c>
      <c r="F40" s="36" t="str">
        <f>IF(A40="","",INDEX('Registro Incidencias'!F$5:F$200,A40))</f>
        <v/>
      </c>
      <c r="G40" s="36" t="str">
        <f>IF(A40="","",INDEX('Registro Incidencias'!G$5:G$200,A40))</f>
        <v/>
      </c>
      <c r="H40" s="36" t="str">
        <f>IF(A40="","",INDEX('Registro Incidencias'!H$5:H$200,A40))</f>
        <v/>
      </c>
      <c r="I40" s="36" t="str">
        <f>IF(A40="","",INDEX('Registro Incidencias'!O$5:O$200,A40))</f>
        <v/>
      </c>
      <c r="J40" s="36" t="str">
        <f>IF(A40="","",INDEX('Registro Incidencias'!R$5:R$200,A40))</f>
        <v/>
      </c>
      <c r="K40" s="36" t="str">
        <f>IF(A40="","",INDEX('Registro Incidencias'!AF$5:AF$200,A40))</f>
        <v/>
      </c>
      <c r="L40" s="39" t="str">
        <f>IF(A40="","",INDEX('Registro Incidencias'!AI$5:AI$200,A40))</f>
        <v/>
      </c>
      <c r="M40" s="33" t="str">
        <f>IF(A40="","",INDEX('Registro Incidencias'!AD$5:AD$200,A40))</f>
        <v/>
      </c>
      <c r="N40" s="36" t="str">
        <f>IF(A40="","",INDEX('Registro Incidencias'!AE$5:AE$200,A40))</f>
        <v/>
      </c>
      <c r="O40" s="33" t="str">
        <f>IF(A40="","",INDEX('Registro Incidencias'!AK$5:AK$200,A40))</f>
        <v/>
      </c>
      <c r="P40" s="63" t="str">
        <f>IF(A40="","",INDEX('Registro Incidencias'!AU$5:AU$200,A40))</f>
        <v/>
      </c>
      <c r="Q40" s="32" t="str">
        <f>IF(A40="","",INDEX('Registro Incidencias'!AV$5:AV$200,A40))</f>
        <v/>
      </c>
      <c r="R40" s="32"/>
      <c r="S40" s="32"/>
    </row>
    <row r="41" spans="1:19" ht="21.75" customHeight="1" x14ac:dyDescent="0.25">
      <c r="A41" s="127" t="str">
        <f>COUNTIFS('Registro Incidencias'!S$5:S$200,"Paco",'Registro Incidencias'!T$5:T$200,'📅 Semana'!B$10)&amp;" averías"</f>
        <v>0 averías</v>
      </c>
      <c r="B41" s="127"/>
      <c r="C41" s="127"/>
      <c r="D41" s="127"/>
      <c r="E41" s="127"/>
      <c r="F41" s="127"/>
      <c r="G41" s="127"/>
      <c r="H41" s="127"/>
      <c r="I41" s="127"/>
      <c r="J41" s="2" t="str">
        <f>"Verificadas: "&amp;COUNTIFS(A35:A40,"&lt;&gt;",P35:P40,"&lt;&gt;")&amp;"/"&amp;COUNTIF(A35:A40,"&lt;&gt;")</f>
        <v>Verificadas: 6/6</v>
      </c>
      <c r="K41" s="2"/>
      <c r="L41" s="2"/>
      <c r="M41" s="2"/>
      <c r="N41" s="2"/>
      <c r="O41" s="2"/>
      <c r="P41" s="2"/>
    </row>
    <row r="43" spans="1:19" ht="30" customHeight="1" x14ac:dyDescent="0.25">
      <c r="A43" s="128" t="str">
        <f>TEXT('📅 Semana'!B$11,"DDDD")&amp;"  —  "&amp;TEXT('📅 Semana'!B$11,"DD/MM/")&amp;"2026"</f>
        <v>viernes  —  20/02/2026</v>
      </c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</row>
    <row r="44" spans="1:19" ht="30" customHeight="1" x14ac:dyDescent="0.25">
      <c r="A44" s="68" t="s">
        <v>85</v>
      </c>
      <c r="B44" s="68" t="s">
        <v>86</v>
      </c>
      <c r="C44" s="68" t="s">
        <v>18</v>
      </c>
      <c r="D44" s="68" t="s">
        <v>87</v>
      </c>
      <c r="E44" s="68" t="s">
        <v>88</v>
      </c>
      <c r="F44" s="68" t="s">
        <v>89</v>
      </c>
      <c r="G44" s="68" t="s">
        <v>13</v>
      </c>
      <c r="H44" s="68" t="s">
        <v>14</v>
      </c>
      <c r="I44" s="68" t="s">
        <v>90</v>
      </c>
      <c r="J44" s="68" t="s">
        <v>91</v>
      </c>
      <c r="K44" s="68" t="s">
        <v>92</v>
      </c>
      <c r="L44" s="68" t="s">
        <v>93</v>
      </c>
      <c r="M44" s="68" t="s">
        <v>94</v>
      </c>
      <c r="N44" s="68" t="s">
        <v>37</v>
      </c>
      <c r="O44" s="68" t="s">
        <v>43</v>
      </c>
      <c r="P44" s="61" t="s">
        <v>95</v>
      </c>
      <c r="Q44" s="61" t="s">
        <v>96</v>
      </c>
      <c r="R44" s="61" t="s">
        <v>97</v>
      </c>
      <c r="S44" s="61" t="s">
        <v>98</v>
      </c>
    </row>
    <row r="45" spans="1:19" ht="15" customHeight="1" x14ac:dyDescent="0.25">
      <c r="A45" s="25" t="str">
        <f>IFERROR(MATCH(1,INDEX(('Registro Incidencias'!AX$5:AX$200="Paco"&amp;TEXT('📅 Semana'!B$11,"YYYYMMDD"))*('Registro Incidencias'!AY$5:AY$200=1),),0),"")</f>
        <v/>
      </c>
      <c r="B45" s="62" t="str">
        <f>IF(A45="","",INDEX('Registro Incidencias'!U$5:U$200,A45))</f>
        <v/>
      </c>
      <c r="C45" s="22" t="str">
        <f>IF(A45="","",INDEX('Registro Incidencias'!L$5:L$200,A45))</f>
        <v/>
      </c>
      <c r="D45" s="22" t="str">
        <f>IF(A45="","",INDEX('Registro Incidencias'!A$5:A$200,A45))</f>
        <v/>
      </c>
      <c r="E45" s="22" t="str">
        <f>IF(A45="","",INDEX('Registro Incidencias'!D$5:D$200,A45))</f>
        <v/>
      </c>
      <c r="F45" s="25" t="str">
        <f>IF(A45="","",INDEX('Registro Incidencias'!F$5:F$200,A45))</f>
        <v/>
      </c>
      <c r="G45" s="25" t="str">
        <f>IF(A45="","",INDEX('Registro Incidencias'!G$5:G$200,A45))</f>
        <v/>
      </c>
      <c r="H45" s="25" t="str">
        <f>IF(A45="","",INDEX('Registro Incidencias'!H$5:H$200,A45))</f>
        <v/>
      </c>
      <c r="I45" s="25" t="str">
        <f>IF(A45="","",INDEX('Registro Incidencias'!O$5:O$200,A45))</f>
        <v/>
      </c>
      <c r="J45" s="25" t="str">
        <f>IF(A45="","",INDEX('Registro Incidencias'!R$5:R$200,A45))</f>
        <v/>
      </c>
      <c r="K45" s="25" t="str">
        <f>IF(A45="","",INDEX('Registro Incidencias'!AF$5:AF$200,A45))</f>
        <v/>
      </c>
      <c r="L45" s="28" t="str">
        <f>IF(A45="","",INDEX('Registro Incidencias'!AI$5:AI$200,A45))</f>
        <v/>
      </c>
      <c r="M45" s="22" t="str">
        <f>IF(A45="","",INDEX('Registro Incidencias'!AD$5:AD$200,A45))</f>
        <v/>
      </c>
      <c r="N45" s="25" t="str">
        <f>IF(A45="","",INDEX('Registro Incidencias'!AE$5:AE$200,A45))</f>
        <v/>
      </c>
      <c r="O45" s="22" t="str">
        <f>IF(A45="","",INDEX('Registro Incidencias'!AK$5:AK$200,A45))</f>
        <v/>
      </c>
      <c r="P45" s="63" t="str">
        <f>IF(A45="","",INDEX('Registro Incidencias'!AU$5:AU$200,A45))</f>
        <v/>
      </c>
      <c r="Q45" s="32" t="str">
        <f>IF(A45="","",INDEX('Registro Incidencias'!AV$5:AV$200,A45))</f>
        <v/>
      </c>
      <c r="R45" s="32"/>
      <c r="S45" s="32"/>
    </row>
    <row r="46" spans="1:19" ht="15" customHeight="1" x14ac:dyDescent="0.25">
      <c r="A46" s="36" t="str">
        <f>IFERROR(MATCH(1,INDEX(('Registro Incidencias'!AX$5:AX$200="Paco"&amp;TEXT('📅 Semana'!B$11,"YYYYMMDD"))*('Registro Incidencias'!AY$5:AY$200=2),),0),"")</f>
        <v/>
      </c>
      <c r="B46" s="64" t="str">
        <f>IF(A46="","",INDEX('Registro Incidencias'!U$5:U$200,A46))</f>
        <v/>
      </c>
      <c r="C46" s="33" t="str">
        <f>IF(A46="","",INDEX('Registro Incidencias'!L$5:L$200,A46))</f>
        <v/>
      </c>
      <c r="D46" s="33" t="str">
        <f>IF(A46="","",INDEX('Registro Incidencias'!A$5:A$200,A46))</f>
        <v/>
      </c>
      <c r="E46" s="33" t="str">
        <f>IF(A46="","",INDEX('Registro Incidencias'!D$5:D$200,A46))</f>
        <v/>
      </c>
      <c r="F46" s="36" t="str">
        <f>IF(A46="","",INDEX('Registro Incidencias'!F$5:F$200,A46))</f>
        <v/>
      </c>
      <c r="G46" s="36" t="str">
        <f>IF(A46="","",INDEX('Registro Incidencias'!G$5:G$200,A46))</f>
        <v/>
      </c>
      <c r="H46" s="36" t="str">
        <f>IF(A46="","",INDEX('Registro Incidencias'!H$5:H$200,A46))</f>
        <v/>
      </c>
      <c r="I46" s="36" t="str">
        <f>IF(A46="","",INDEX('Registro Incidencias'!O$5:O$200,A46))</f>
        <v/>
      </c>
      <c r="J46" s="36" t="str">
        <f>IF(A46="","",INDEX('Registro Incidencias'!R$5:R$200,A46))</f>
        <v/>
      </c>
      <c r="K46" s="36" t="str">
        <f>IF(A46="","",INDEX('Registro Incidencias'!AF$5:AF$200,A46))</f>
        <v/>
      </c>
      <c r="L46" s="39" t="str">
        <f>IF(A46="","",INDEX('Registro Incidencias'!AI$5:AI$200,A46))</f>
        <v/>
      </c>
      <c r="M46" s="33" t="str">
        <f>IF(A46="","",INDEX('Registro Incidencias'!AD$5:AD$200,A46))</f>
        <v/>
      </c>
      <c r="N46" s="36" t="str">
        <f>IF(A46="","",INDEX('Registro Incidencias'!AE$5:AE$200,A46))</f>
        <v/>
      </c>
      <c r="O46" s="33" t="str">
        <f>IF(A46="","",INDEX('Registro Incidencias'!AK$5:AK$200,A46))</f>
        <v/>
      </c>
      <c r="P46" s="63" t="str">
        <f>IF(A46="","",INDEX('Registro Incidencias'!AU$5:AU$200,A46))</f>
        <v/>
      </c>
      <c r="Q46" s="32" t="str">
        <f>IF(A46="","",INDEX('Registro Incidencias'!AV$5:AV$200,A46))</f>
        <v/>
      </c>
      <c r="R46" s="32"/>
      <c r="S46" s="32"/>
    </row>
    <row r="47" spans="1:19" ht="15" customHeight="1" x14ac:dyDescent="0.25">
      <c r="A47" s="25" t="str">
        <f>IFERROR(MATCH(1,INDEX(('Registro Incidencias'!AX$5:AX$200="Paco"&amp;TEXT('📅 Semana'!B$11,"YYYYMMDD"))*('Registro Incidencias'!AY$5:AY$200=3),),0),"")</f>
        <v/>
      </c>
      <c r="B47" s="62" t="str">
        <f>IF(A47="","",INDEX('Registro Incidencias'!U$5:U$200,A47))</f>
        <v/>
      </c>
      <c r="C47" s="22" t="str">
        <f>IF(A47="","",INDEX('Registro Incidencias'!L$5:L$200,A47))</f>
        <v/>
      </c>
      <c r="D47" s="22" t="str">
        <f>IF(A47="","",INDEX('Registro Incidencias'!A$5:A$200,A47))</f>
        <v/>
      </c>
      <c r="E47" s="22" t="str">
        <f>IF(A47="","",INDEX('Registro Incidencias'!D$5:D$200,A47))</f>
        <v/>
      </c>
      <c r="F47" s="25" t="str">
        <f>IF(A47="","",INDEX('Registro Incidencias'!F$5:F$200,A47))</f>
        <v/>
      </c>
      <c r="G47" s="25" t="str">
        <f>IF(A47="","",INDEX('Registro Incidencias'!G$5:G$200,A47))</f>
        <v/>
      </c>
      <c r="H47" s="25" t="str">
        <f>IF(A47="","",INDEX('Registro Incidencias'!H$5:H$200,A47))</f>
        <v/>
      </c>
      <c r="I47" s="25" t="str">
        <f>IF(A47="","",INDEX('Registro Incidencias'!O$5:O$200,A47))</f>
        <v/>
      </c>
      <c r="J47" s="25" t="str">
        <f>IF(A47="","",INDEX('Registro Incidencias'!R$5:R$200,A47))</f>
        <v/>
      </c>
      <c r="K47" s="25" t="str">
        <f>IF(A47="","",INDEX('Registro Incidencias'!AF$5:AF$200,A47))</f>
        <v/>
      </c>
      <c r="L47" s="28" t="str">
        <f>IF(A47="","",INDEX('Registro Incidencias'!AI$5:AI$200,A47))</f>
        <v/>
      </c>
      <c r="M47" s="22" t="str">
        <f>IF(A47="","",INDEX('Registro Incidencias'!AD$5:AD$200,A47))</f>
        <v/>
      </c>
      <c r="N47" s="25" t="str">
        <f>IF(A47="","",INDEX('Registro Incidencias'!AE$5:AE$200,A47))</f>
        <v/>
      </c>
      <c r="O47" s="22" t="str">
        <f>IF(A47="","",INDEX('Registro Incidencias'!AK$5:AK$200,A47))</f>
        <v/>
      </c>
      <c r="P47" s="63" t="str">
        <f>IF(A47="","",INDEX('Registro Incidencias'!AU$5:AU$200,A47))</f>
        <v/>
      </c>
      <c r="Q47" s="32" t="str">
        <f>IF(A47="","",INDEX('Registro Incidencias'!AV$5:AV$200,A47))</f>
        <v/>
      </c>
      <c r="R47" s="32"/>
      <c r="S47" s="32"/>
    </row>
    <row r="48" spans="1:19" ht="15" customHeight="1" x14ac:dyDescent="0.25">
      <c r="A48" s="36" t="str">
        <f>IFERROR(MATCH(1,INDEX(('Registro Incidencias'!AX$5:AX$200="Paco"&amp;TEXT('📅 Semana'!B$11,"YYYYMMDD"))*('Registro Incidencias'!AY$5:AY$200=4),),0),"")</f>
        <v/>
      </c>
      <c r="B48" s="64" t="str">
        <f>IF(A48="","",INDEX('Registro Incidencias'!U$5:U$200,A48))</f>
        <v/>
      </c>
      <c r="C48" s="33" t="str">
        <f>IF(A48="","",INDEX('Registro Incidencias'!L$5:L$200,A48))</f>
        <v/>
      </c>
      <c r="D48" s="33" t="str">
        <f>IF(A48="","",INDEX('Registro Incidencias'!A$5:A$200,A48))</f>
        <v/>
      </c>
      <c r="E48" s="33" t="str">
        <f>IF(A48="","",INDEX('Registro Incidencias'!D$5:D$200,A48))</f>
        <v/>
      </c>
      <c r="F48" s="36" t="str">
        <f>IF(A48="","",INDEX('Registro Incidencias'!F$5:F$200,A48))</f>
        <v/>
      </c>
      <c r="G48" s="36" t="str">
        <f>IF(A48="","",INDEX('Registro Incidencias'!G$5:G$200,A48))</f>
        <v/>
      </c>
      <c r="H48" s="36" t="str">
        <f>IF(A48="","",INDEX('Registro Incidencias'!H$5:H$200,A48))</f>
        <v/>
      </c>
      <c r="I48" s="36" t="str">
        <f>IF(A48="","",INDEX('Registro Incidencias'!O$5:O$200,A48))</f>
        <v/>
      </c>
      <c r="J48" s="36" t="str">
        <f>IF(A48="","",INDEX('Registro Incidencias'!R$5:R$200,A48))</f>
        <v/>
      </c>
      <c r="K48" s="36" t="str">
        <f>IF(A48="","",INDEX('Registro Incidencias'!AF$5:AF$200,A48))</f>
        <v/>
      </c>
      <c r="L48" s="39" t="str">
        <f>IF(A48="","",INDEX('Registro Incidencias'!AI$5:AI$200,A48))</f>
        <v/>
      </c>
      <c r="M48" s="33" t="str">
        <f>IF(A48="","",INDEX('Registro Incidencias'!AD$5:AD$200,A48))</f>
        <v/>
      </c>
      <c r="N48" s="36" t="str">
        <f>IF(A48="","",INDEX('Registro Incidencias'!AE$5:AE$200,A48))</f>
        <v/>
      </c>
      <c r="O48" s="33" t="str">
        <f>IF(A48="","",INDEX('Registro Incidencias'!AK$5:AK$200,A48))</f>
        <v/>
      </c>
      <c r="P48" s="63" t="str">
        <f>IF(A48="","",INDEX('Registro Incidencias'!AU$5:AU$200,A48))</f>
        <v/>
      </c>
      <c r="Q48" s="32" t="str">
        <f>IF(A48="","",INDEX('Registro Incidencias'!AV$5:AV$200,A48))</f>
        <v/>
      </c>
      <c r="R48" s="32"/>
      <c r="S48" s="32"/>
    </row>
    <row r="49" spans="1:19" ht="15" customHeight="1" x14ac:dyDescent="0.25">
      <c r="A49" s="25" t="str">
        <f>IFERROR(MATCH(1,INDEX(('Registro Incidencias'!AX$5:AX$200="Paco"&amp;TEXT('📅 Semana'!B$11,"YYYYMMDD"))*('Registro Incidencias'!AY$5:AY$200=5),),0),"")</f>
        <v/>
      </c>
      <c r="B49" s="62" t="str">
        <f>IF(A49="","",INDEX('Registro Incidencias'!U$5:U$200,A49))</f>
        <v/>
      </c>
      <c r="C49" s="22" t="str">
        <f>IF(A49="","",INDEX('Registro Incidencias'!L$5:L$200,A49))</f>
        <v/>
      </c>
      <c r="D49" s="22" t="str">
        <f>IF(A49="","",INDEX('Registro Incidencias'!A$5:A$200,A49))</f>
        <v/>
      </c>
      <c r="E49" s="22" t="str">
        <f>IF(A49="","",INDEX('Registro Incidencias'!D$5:D$200,A49))</f>
        <v/>
      </c>
      <c r="F49" s="25" t="str">
        <f>IF(A49="","",INDEX('Registro Incidencias'!F$5:F$200,A49))</f>
        <v/>
      </c>
      <c r="G49" s="25" t="str">
        <f>IF(A49="","",INDEX('Registro Incidencias'!G$5:G$200,A49))</f>
        <v/>
      </c>
      <c r="H49" s="25" t="str">
        <f>IF(A49="","",INDEX('Registro Incidencias'!H$5:H$200,A49))</f>
        <v/>
      </c>
      <c r="I49" s="25" t="str">
        <f>IF(A49="","",INDEX('Registro Incidencias'!O$5:O$200,A49))</f>
        <v/>
      </c>
      <c r="J49" s="25" t="str">
        <f>IF(A49="","",INDEX('Registro Incidencias'!R$5:R$200,A49))</f>
        <v/>
      </c>
      <c r="K49" s="25" t="str">
        <f>IF(A49="","",INDEX('Registro Incidencias'!AF$5:AF$200,A49))</f>
        <v/>
      </c>
      <c r="L49" s="28" t="str">
        <f>IF(A49="","",INDEX('Registro Incidencias'!AI$5:AI$200,A49))</f>
        <v/>
      </c>
      <c r="M49" s="22" t="str">
        <f>IF(A49="","",INDEX('Registro Incidencias'!AD$5:AD$200,A49))</f>
        <v/>
      </c>
      <c r="N49" s="25" t="str">
        <f>IF(A49="","",INDEX('Registro Incidencias'!AE$5:AE$200,A49))</f>
        <v/>
      </c>
      <c r="O49" s="22" t="str">
        <f>IF(A49="","",INDEX('Registro Incidencias'!AK$5:AK$200,A49))</f>
        <v/>
      </c>
      <c r="P49" s="63" t="str">
        <f>IF(A49="","",INDEX('Registro Incidencias'!AU$5:AU$200,A49))</f>
        <v/>
      </c>
      <c r="Q49" s="32" t="str">
        <f>IF(A49="","",INDEX('Registro Incidencias'!AV$5:AV$200,A49))</f>
        <v/>
      </c>
      <c r="R49" s="32"/>
      <c r="S49" s="32"/>
    </row>
    <row r="50" spans="1:19" ht="15" customHeight="1" x14ac:dyDescent="0.25">
      <c r="A50" s="36" t="str">
        <f>IFERROR(MATCH(1,INDEX(('Registro Incidencias'!AX$5:AX$200="Paco"&amp;TEXT('📅 Semana'!B$11,"YYYYMMDD"))*('Registro Incidencias'!AY$5:AY$200=6),),0),"")</f>
        <v/>
      </c>
      <c r="B50" s="64" t="str">
        <f>IF(A50="","",INDEX('Registro Incidencias'!U$5:U$200,A50))</f>
        <v/>
      </c>
      <c r="C50" s="33" t="str">
        <f>IF(A50="","",INDEX('Registro Incidencias'!L$5:L$200,A50))</f>
        <v/>
      </c>
      <c r="D50" s="33" t="str">
        <f>IF(A50="","",INDEX('Registro Incidencias'!A$5:A$200,A50))</f>
        <v/>
      </c>
      <c r="E50" s="33" t="str">
        <f>IF(A50="","",INDEX('Registro Incidencias'!D$5:D$200,A50))</f>
        <v/>
      </c>
      <c r="F50" s="36" t="str">
        <f>IF(A50="","",INDEX('Registro Incidencias'!F$5:F$200,A50))</f>
        <v/>
      </c>
      <c r="G50" s="36" t="str">
        <f>IF(A50="","",INDEX('Registro Incidencias'!G$5:G$200,A50))</f>
        <v/>
      </c>
      <c r="H50" s="36" t="str">
        <f>IF(A50="","",INDEX('Registro Incidencias'!H$5:H$200,A50))</f>
        <v/>
      </c>
      <c r="I50" s="36" t="str">
        <f>IF(A50="","",INDEX('Registro Incidencias'!O$5:O$200,A50))</f>
        <v/>
      </c>
      <c r="J50" s="36" t="str">
        <f>IF(A50="","",INDEX('Registro Incidencias'!R$5:R$200,A50))</f>
        <v/>
      </c>
      <c r="K50" s="36" t="str">
        <f>IF(A50="","",INDEX('Registro Incidencias'!AF$5:AF$200,A50))</f>
        <v/>
      </c>
      <c r="L50" s="39" t="str">
        <f>IF(A50="","",INDEX('Registro Incidencias'!AI$5:AI$200,A50))</f>
        <v/>
      </c>
      <c r="M50" s="33" t="str">
        <f>IF(A50="","",INDEX('Registro Incidencias'!AD$5:AD$200,A50))</f>
        <v/>
      </c>
      <c r="N50" s="36" t="str">
        <f>IF(A50="","",INDEX('Registro Incidencias'!AE$5:AE$200,A50))</f>
        <v/>
      </c>
      <c r="O50" s="33" t="str">
        <f>IF(A50="","",INDEX('Registro Incidencias'!AK$5:AK$200,A50))</f>
        <v/>
      </c>
      <c r="P50" s="63" t="str">
        <f>IF(A50="","",INDEX('Registro Incidencias'!AU$5:AU$200,A50))</f>
        <v/>
      </c>
      <c r="Q50" s="32" t="str">
        <f>IF(A50="","",INDEX('Registro Incidencias'!AV$5:AV$200,A50))</f>
        <v/>
      </c>
      <c r="R50" s="32"/>
      <c r="S50" s="32"/>
    </row>
    <row r="51" spans="1:19" ht="21.75" customHeight="1" x14ac:dyDescent="0.25">
      <c r="A51" s="129" t="str">
        <f>COUNTIFS('Registro Incidencias'!S$5:S$200,"Paco",'Registro Incidencias'!T$5:T$200,'📅 Semana'!B$11)&amp;" averías"</f>
        <v>0 averías</v>
      </c>
      <c r="B51" s="129"/>
      <c r="C51" s="129"/>
      <c r="D51" s="129"/>
      <c r="E51" s="129"/>
      <c r="F51" s="129"/>
      <c r="G51" s="129"/>
      <c r="H51" s="129"/>
      <c r="I51" s="129"/>
      <c r="J51" s="2" t="str">
        <f>"Verificadas: "&amp;COUNTIFS(A45:A50,"&lt;&gt;",P45:P50,"&lt;&gt;")&amp;"/"&amp;COUNTIF(A45:A50,"&lt;&gt;")</f>
        <v>Verificadas: 6/6</v>
      </c>
      <c r="K51" s="2"/>
      <c r="L51" s="2"/>
      <c r="M51" s="2"/>
      <c r="N51" s="2"/>
      <c r="O51" s="2"/>
      <c r="P51" s="2"/>
    </row>
    <row r="53" spans="1:19" ht="30" customHeight="1" x14ac:dyDescent="0.25">
      <c r="A53" s="130" t="str">
        <f>TEXT('📅 Semana'!B$12,"DDDD")&amp;"  —  "&amp;TEXT('📅 Semana'!B$12,"DD/MM/")&amp;"2026"</f>
        <v>sábado  —  21/02/2026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</row>
    <row r="54" spans="1:19" ht="30" customHeight="1" x14ac:dyDescent="0.25">
      <c r="A54" s="69" t="s">
        <v>85</v>
      </c>
      <c r="B54" s="69" t="s">
        <v>86</v>
      </c>
      <c r="C54" s="69" t="s">
        <v>18</v>
      </c>
      <c r="D54" s="69" t="s">
        <v>87</v>
      </c>
      <c r="E54" s="69" t="s">
        <v>88</v>
      </c>
      <c r="F54" s="69" t="s">
        <v>89</v>
      </c>
      <c r="G54" s="69" t="s">
        <v>13</v>
      </c>
      <c r="H54" s="69" t="s">
        <v>14</v>
      </c>
      <c r="I54" s="69" t="s">
        <v>90</v>
      </c>
      <c r="J54" s="69" t="s">
        <v>91</v>
      </c>
      <c r="K54" s="69" t="s">
        <v>92</v>
      </c>
      <c r="L54" s="69" t="s">
        <v>93</v>
      </c>
      <c r="M54" s="69" t="s">
        <v>94</v>
      </c>
      <c r="N54" s="69" t="s">
        <v>37</v>
      </c>
      <c r="O54" s="69" t="s">
        <v>43</v>
      </c>
      <c r="P54" s="61" t="s">
        <v>95</v>
      </c>
      <c r="Q54" s="61" t="s">
        <v>96</v>
      </c>
      <c r="R54" s="61" t="s">
        <v>97</v>
      </c>
      <c r="S54" s="61" t="s">
        <v>98</v>
      </c>
    </row>
    <row r="55" spans="1:19" ht="15" customHeight="1" x14ac:dyDescent="0.25">
      <c r="A55" s="25" t="str">
        <f>IFERROR(MATCH(1,INDEX(('Registro Incidencias'!AX$5:AX$200="Paco"&amp;TEXT('📅 Semana'!B$12,"YYYYMMDD"))*('Registro Incidencias'!AY$5:AY$200=1),),0),"")</f>
        <v/>
      </c>
      <c r="B55" s="62" t="str">
        <f>IF(A55="","",INDEX('Registro Incidencias'!U$5:U$200,A55))</f>
        <v/>
      </c>
      <c r="C55" s="22" t="str">
        <f>IF(A55="","",INDEX('Registro Incidencias'!L$5:L$200,A55))</f>
        <v/>
      </c>
      <c r="D55" s="22" t="str">
        <f>IF(A55="","",INDEX('Registro Incidencias'!A$5:A$200,A55))</f>
        <v/>
      </c>
      <c r="E55" s="22" t="str">
        <f>IF(A55="","",INDEX('Registro Incidencias'!D$5:D$200,A55))</f>
        <v/>
      </c>
      <c r="F55" s="25" t="str">
        <f>IF(A55="","",INDEX('Registro Incidencias'!F$5:F$200,A55))</f>
        <v/>
      </c>
      <c r="G55" s="25" t="str">
        <f>IF(A55="","",INDEX('Registro Incidencias'!G$5:G$200,A55))</f>
        <v/>
      </c>
      <c r="H55" s="25" t="str">
        <f>IF(A55="","",INDEX('Registro Incidencias'!H$5:H$200,A55))</f>
        <v/>
      </c>
      <c r="I55" s="25" t="str">
        <f>IF(A55="","",INDEX('Registro Incidencias'!O$5:O$200,A55))</f>
        <v/>
      </c>
      <c r="J55" s="25" t="str">
        <f>IF(A55="","",INDEX('Registro Incidencias'!R$5:R$200,A55))</f>
        <v/>
      </c>
      <c r="K55" s="25" t="str">
        <f>IF(A55="","",INDEX('Registro Incidencias'!AF$5:AF$200,A55))</f>
        <v/>
      </c>
      <c r="L55" s="28" t="str">
        <f>IF(A55="","",INDEX('Registro Incidencias'!AI$5:AI$200,A55))</f>
        <v/>
      </c>
      <c r="M55" s="22" t="str">
        <f>IF(A55="","",INDEX('Registro Incidencias'!AD$5:AD$200,A55))</f>
        <v/>
      </c>
      <c r="N55" s="25" t="str">
        <f>IF(A55="","",INDEX('Registro Incidencias'!AE$5:AE$200,A55))</f>
        <v/>
      </c>
      <c r="O55" s="22" t="str">
        <f>IF(A55="","",INDEX('Registro Incidencias'!AK$5:AK$200,A55))</f>
        <v/>
      </c>
      <c r="P55" s="63" t="str">
        <f>IF(A55="","",INDEX('Registro Incidencias'!AU$5:AU$200,A55))</f>
        <v/>
      </c>
      <c r="Q55" s="32" t="str">
        <f>IF(A55="","",INDEX('Registro Incidencias'!AV$5:AV$200,A55))</f>
        <v/>
      </c>
      <c r="R55" s="32"/>
      <c r="S55" s="32"/>
    </row>
    <row r="56" spans="1:19" ht="15" customHeight="1" x14ac:dyDescent="0.25">
      <c r="A56" s="36" t="str">
        <f>IFERROR(MATCH(1,INDEX(('Registro Incidencias'!AX$5:AX$200="Paco"&amp;TEXT('📅 Semana'!B$12,"YYYYMMDD"))*('Registro Incidencias'!AY$5:AY$200=2),),0),"")</f>
        <v/>
      </c>
      <c r="B56" s="64" t="str">
        <f>IF(A56="","",INDEX('Registro Incidencias'!U$5:U$200,A56))</f>
        <v/>
      </c>
      <c r="C56" s="33" t="str">
        <f>IF(A56="","",INDEX('Registro Incidencias'!L$5:L$200,A56))</f>
        <v/>
      </c>
      <c r="D56" s="33" t="str">
        <f>IF(A56="","",INDEX('Registro Incidencias'!A$5:A$200,A56))</f>
        <v/>
      </c>
      <c r="E56" s="33" t="str">
        <f>IF(A56="","",INDEX('Registro Incidencias'!D$5:D$200,A56))</f>
        <v/>
      </c>
      <c r="F56" s="36" t="str">
        <f>IF(A56="","",INDEX('Registro Incidencias'!F$5:F$200,A56))</f>
        <v/>
      </c>
      <c r="G56" s="36" t="str">
        <f>IF(A56="","",INDEX('Registro Incidencias'!G$5:G$200,A56))</f>
        <v/>
      </c>
      <c r="H56" s="36" t="str">
        <f>IF(A56="","",INDEX('Registro Incidencias'!H$5:H$200,A56))</f>
        <v/>
      </c>
      <c r="I56" s="36" t="str">
        <f>IF(A56="","",INDEX('Registro Incidencias'!O$5:O$200,A56))</f>
        <v/>
      </c>
      <c r="J56" s="36" t="str">
        <f>IF(A56="","",INDEX('Registro Incidencias'!R$5:R$200,A56))</f>
        <v/>
      </c>
      <c r="K56" s="36" t="str">
        <f>IF(A56="","",INDEX('Registro Incidencias'!AF$5:AF$200,A56))</f>
        <v/>
      </c>
      <c r="L56" s="39" t="str">
        <f>IF(A56="","",INDEX('Registro Incidencias'!AI$5:AI$200,A56))</f>
        <v/>
      </c>
      <c r="M56" s="33" t="str">
        <f>IF(A56="","",INDEX('Registro Incidencias'!AD$5:AD$200,A56))</f>
        <v/>
      </c>
      <c r="N56" s="36" t="str">
        <f>IF(A56="","",INDEX('Registro Incidencias'!AE$5:AE$200,A56))</f>
        <v/>
      </c>
      <c r="O56" s="33" t="str">
        <f>IF(A56="","",INDEX('Registro Incidencias'!AK$5:AK$200,A56))</f>
        <v/>
      </c>
      <c r="P56" s="63" t="str">
        <f>IF(A56="","",INDEX('Registro Incidencias'!AU$5:AU$200,A56))</f>
        <v/>
      </c>
      <c r="Q56" s="32" t="str">
        <f>IF(A56="","",INDEX('Registro Incidencias'!AV$5:AV$200,A56))</f>
        <v/>
      </c>
      <c r="R56" s="32"/>
      <c r="S56" s="32"/>
    </row>
    <row r="57" spans="1:19" ht="15" customHeight="1" x14ac:dyDescent="0.25">
      <c r="A57" s="25" t="str">
        <f>IFERROR(MATCH(1,INDEX(('Registro Incidencias'!AX$5:AX$200="Paco"&amp;TEXT('📅 Semana'!B$12,"YYYYMMDD"))*('Registro Incidencias'!AY$5:AY$200=3),),0),"")</f>
        <v/>
      </c>
      <c r="B57" s="62" t="str">
        <f>IF(A57="","",INDEX('Registro Incidencias'!U$5:U$200,A57))</f>
        <v/>
      </c>
      <c r="C57" s="22" t="str">
        <f>IF(A57="","",INDEX('Registro Incidencias'!L$5:L$200,A57))</f>
        <v/>
      </c>
      <c r="D57" s="22" t="str">
        <f>IF(A57="","",INDEX('Registro Incidencias'!A$5:A$200,A57))</f>
        <v/>
      </c>
      <c r="E57" s="22" t="str">
        <f>IF(A57="","",INDEX('Registro Incidencias'!D$5:D$200,A57))</f>
        <v/>
      </c>
      <c r="F57" s="25" t="str">
        <f>IF(A57="","",INDEX('Registro Incidencias'!F$5:F$200,A57))</f>
        <v/>
      </c>
      <c r="G57" s="25" t="str">
        <f>IF(A57="","",INDEX('Registro Incidencias'!G$5:G$200,A57))</f>
        <v/>
      </c>
      <c r="H57" s="25" t="str">
        <f>IF(A57="","",INDEX('Registro Incidencias'!H$5:H$200,A57))</f>
        <v/>
      </c>
      <c r="I57" s="25" t="str">
        <f>IF(A57="","",INDEX('Registro Incidencias'!O$5:O$200,A57))</f>
        <v/>
      </c>
      <c r="J57" s="25" t="str">
        <f>IF(A57="","",INDEX('Registro Incidencias'!R$5:R$200,A57))</f>
        <v/>
      </c>
      <c r="K57" s="25" t="str">
        <f>IF(A57="","",INDEX('Registro Incidencias'!AF$5:AF$200,A57))</f>
        <v/>
      </c>
      <c r="L57" s="28" t="str">
        <f>IF(A57="","",INDEX('Registro Incidencias'!AI$5:AI$200,A57))</f>
        <v/>
      </c>
      <c r="M57" s="22" t="str">
        <f>IF(A57="","",INDEX('Registro Incidencias'!AD$5:AD$200,A57))</f>
        <v/>
      </c>
      <c r="N57" s="25" t="str">
        <f>IF(A57="","",INDEX('Registro Incidencias'!AE$5:AE$200,A57))</f>
        <v/>
      </c>
      <c r="O57" s="22" t="str">
        <f>IF(A57="","",INDEX('Registro Incidencias'!AK$5:AK$200,A57))</f>
        <v/>
      </c>
      <c r="P57" s="63" t="str">
        <f>IF(A57="","",INDEX('Registro Incidencias'!AU$5:AU$200,A57))</f>
        <v/>
      </c>
      <c r="Q57" s="32" t="str">
        <f>IF(A57="","",INDEX('Registro Incidencias'!AV$5:AV$200,A57))</f>
        <v/>
      </c>
      <c r="R57" s="32"/>
      <c r="S57" s="32"/>
    </row>
    <row r="58" spans="1:19" ht="15" customHeight="1" x14ac:dyDescent="0.25">
      <c r="A58" s="36" t="str">
        <f>IFERROR(MATCH(1,INDEX(('Registro Incidencias'!AX$5:AX$200="Paco"&amp;TEXT('📅 Semana'!B$12,"YYYYMMDD"))*('Registro Incidencias'!AY$5:AY$200=4),),0),"")</f>
        <v/>
      </c>
      <c r="B58" s="64" t="str">
        <f>IF(A58="","",INDEX('Registro Incidencias'!U$5:U$200,A58))</f>
        <v/>
      </c>
      <c r="C58" s="33" t="str">
        <f>IF(A58="","",INDEX('Registro Incidencias'!L$5:L$200,A58))</f>
        <v/>
      </c>
      <c r="D58" s="33" t="str">
        <f>IF(A58="","",INDEX('Registro Incidencias'!A$5:A$200,A58))</f>
        <v/>
      </c>
      <c r="E58" s="33" t="str">
        <f>IF(A58="","",INDEX('Registro Incidencias'!D$5:D$200,A58))</f>
        <v/>
      </c>
      <c r="F58" s="36" t="str">
        <f>IF(A58="","",INDEX('Registro Incidencias'!F$5:F$200,A58))</f>
        <v/>
      </c>
      <c r="G58" s="36" t="str">
        <f>IF(A58="","",INDEX('Registro Incidencias'!G$5:G$200,A58))</f>
        <v/>
      </c>
      <c r="H58" s="36" t="str">
        <f>IF(A58="","",INDEX('Registro Incidencias'!H$5:H$200,A58))</f>
        <v/>
      </c>
      <c r="I58" s="36" t="str">
        <f>IF(A58="","",INDEX('Registro Incidencias'!O$5:O$200,A58))</f>
        <v/>
      </c>
      <c r="J58" s="36" t="str">
        <f>IF(A58="","",INDEX('Registro Incidencias'!R$5:R$200,A58))</f>
        <v/>
      </c>
      <c r="K58" s="36" t="str">
        <f>IF(A58="","",INDEX('Registro Incidencias'!AF$5:AF$200,A58))</f>
        <v/>
      </c>
      <c r="L58" s="39" t="str">
        <f>IF(A58="","",INDEX('Registro Incidencias'!AI$5:AI$200,A58))</f>
        <v/>
      </c>
      <c r="M58" s="33" t="str">
        <f>IF(A58="","",INDEX('Registro Incidencias'!AD$5:AD$200,A58))</f>
        <v/>
      </c>
      <c r="N58" s="36" t="str">
        <f>IF(A58="","",INDEX('Registro Incidencias'!AE$5:AE$200,A58))</f>
        <v/>
      </c>
      <c r="O58" s="33" t="str">
        <f>IF(A58="","",INDEX('Registro Incidencias'!AK$5:AK$200,A58))</f>
        <v/>
      </c>
      <c r="P58" s="63" t="str">
        <f>IF(A58="","",INDEX('Registro Incidencias'!AU$5:AU$200,A58))</f>
        <v/>
      </c>
      <c r="Q58" s="32" t="str">
        <f>IF(A58="","",INDEX('Registro Incidencias'!AV$5:AV$200,A58))</f>
        <v/>
      </c>
      <c r="R58" s="32"/>
      <c r="S58" s="32"/>
    </row>
    <row r="59" spans="1:19" ht="15" customHeight="1" x14ac:dyDescent="0.25">
      <c r="A59" s="25" t="str">
        <f>IFERROR(MATCH(1,INDEX(('Registro Incidencias'!AX$5:AX$200="Paco"&amp;TEXT('📅 Semana'!B$12,"YYYYMMDD"))*('Registro Incidencias'!AY$5:AY$200=5),),0),"")</f>
        <v/>
      </c>
      <c r="B59" s="62" t="str">
        <f>IF(A59="","",INDEX('Registro Incidencias'!U$5:U$200,A59))</f>
        <v/>
      </c>
      <c r="C59" s="22" t="str">
        <f>IF(A59="","",INDEX('Registro Incidencias'!L$5:L$200,A59))</f>
        <v/>
      </c>
      <c r="D59" s="22" t="str">
        <f>IF(A59="","",INDEX('Registro Incidencias'!A$5:A$200,A59))</f>
        <v/>
      </c>
      <c r="E59" s="22" t="str">
        <f>IF(A59="","",INDEX('Registro Incidencias'!D$5:D$200,A59))</f>
        <v/>
      </c>
      <c r="F59" s="25" t="str">
        <f>IF(A59="","",INDEX('Registro Incidencias'!F$5:F$200,A59))</f>
        <v/>
      </c>
      <c r="G59" s="25" t="str">
        <f>IF(A59="","",INDEX('Registro Incidencias'!G$5:G$200,A59))</f>
        <v/>
      </c>
      <c r="H59" s="25" t="str">
        <f>IF(A59="","",INDEX('Registro Incidencias'!H$5:H$200,A59))</f>
        <v/>
      </c>
      <c r="I59" s="25" t="str">
        <f>IF(A59="","",INDEX('Registro Incidencias'!O$5:O$200,A59))</f>
        <v/>
      </c>
      <c r="J59" s="25" t="str">
        <f>IF(A59="","",INDEX('Registro Incidencias'!R$5:R$200,A59))</f>
        <v/>
      </c>
      <c r="K59" s="25" t="str">
        <f>IF(A59="","",INDEX('Registro Incidencias'!AF$5:AF$200,A59))</f>
        <v/>
      </c>
      <c r="L59" s="28" t="str">
        <f>IF(A59="","",INDEX('Registro Incidencias'!AI$5:AI$200,A59))</f>
        <v/>
      </c>
      <c r="M59" s="22" t="str">
        <f>IF(A59="","",INDEX('Registro Incidencias'!AD$5:AD$200,A59))</f>
        <v/>
      </c>
      <c r="N59" s="25" t="str">
        <f>IF(A59="","",INDEX('Registro Incidencias'!AE$5:AE$200,A59))</f>
        <v/>
      </c>
      <c r="O59" s="22" t="str">
        <f>IF(A59="","",INDEX('Registro Incidencias'!AK$5:AK$200,A59))</f>
        <v/>
      </c>
      <c r="P59" s="63" t="str">
        <f>IF(A59="","",INDEX('Registro Incidencias'!AU$5:AU$200,A59))</f>
        <v/>
      </c>
      <c r="Q59" s="32" t="str">
        <f>IF(A59="","",INDEX('Registro Incidencias'!AV$5:AV$200,A59))</f>
        <v/>
      </c>
      <c r="R59" s="32"/>
      <c r="S59" s="32"/>
    </row>
    <row r="60" spans="1:19" ht="15" customHeight="1" x14ac:dyDescent="0.25">
      <c r="A60" s="36" t="str">
        <f>IFERROR(MATCH(1,INDEX(('Registro Incidencias'!AX$5:AX$200="Paco"&amp;TEXT('📅 Semana'!B$12,"YYYYMMDD"))*('Registro Incidencias'!AY$5:AY$200=6),),0),"")</f>
        <v/>
      </c>
      <c r="B60" s="64" t="str">
        <f>IF(A60="","",INDEX('Registro Incidencias'!U$5:U$200,A60))</f>
        <v/>
      </c>
      <c r="C60" s="33" t="str">
        <f>IF(A60="","",INDEX('Registro Incidencias'!L$5:L$200,A60))</f>
        <v/>
      </c>
      <c r="D60" s="33" t="str">
        <f>IF(A60="","",INDEX('Registro Incidencias'!A$5:A$200,A60))</f>
        <v/>
      </c>
      <c r="E60" s="33" t="str">
        <f>IF(A60="","",INDEX('Registro Incidencias'!D$5:D$200,A60))</f>
        <v/>
      </c>
      <c r="F60" s="36" t="str">
        <f>IF(A60="","",INDEX('Registro Incidencias'!F$5:F$200,A60))</f>
        <v/>
      </c>
      <c r="G60" s="36" t="str">
        <f>IF(A60="","",INDEX('Registro Incidencias'!G$5:G$200,A60))</f>
        <v/>
      </c>
      <c r="H60" s="36" t="str">
        <f>IF(A60="","",INDEX('Registro Incidencias'!H$5:H$200,A60))</f>
        <v/>
      </c>
      <c r="I60" s="36" t="str">
        <f>IF(A60="","",INDEX('Registro Incidencias'!O$5:O$200,A60))</f>
        <v/>
      </c>
      <c r="J60" s="36" t="str">
        <f>IF(A60="","",INDEX('Registro Incidencias'!R$5:R$200,A60))</f>
        <v/>
      </c>
      <c r="K60" s="36" t="str">
        <f>IF(A60="","",INDEX('Registro Incidencias'!AF$5:AF$200,A60))</f>
        <v/>
      </c>
      <c r="L60" s="39" t="str">
        <f>IF(A60="","",INDEX('Registro Incidencias'!AI$5:AI$200,A60))</f>
        <v/>
      </c>
      <c r="M60" s="33" t="str">
        <f>IF(A60="","",INDEX('Registro Incidencias'!AD$5:AD$200,A60))</f>
        <v/>
      </c>
      <c r="N60" s="36" t="str">
        <f>IF(A60="","",INDEX('Registro Incidencias'!AE$5:AE$200,A60))</f>
        <v/>
      </c>
      <c r="O60" s="33" t="str">
        <f>IF(A60="","",INDEX('Registro Incidencias'!AK$5:AK$200,A60))</f>
        <v/>
      </c>
      <c r="P60" s="63" t="str">
        <f>IF(A60="","",INDEX('Registro Incidencias'!AU$5:AU$200,A60))</f>
        <v/>
      </c>
      <c r="Q60" s="32" t="str">
        <f>IF(A60="","",INDEX('Registro Incidencias'!AV$5:AV$200,A60))</f>
        <v/>
      </c>
      <c r="R60" s="32"/>
      <c r="S60" s="32"/>
    </row>
    <row r="61" spans="1:19" ht="21.75" customHeight="1" x14ac:dyDescent="0.25">
      <c r="A61" s="131" t="str">
        <f>COUNTIFS('Registro Incidencias'!S$5:S$200,"Paco",'Registro Incidencias'!T$5:T$200,'📅 Semana'!B$12)&amp;" averías"</f>
        <v>0 averías</v>
      </c>
      <c r="B61" s="131"/>
      <c r="C61" s="131"/>
      <c r="D61" s="131"/>
      <c r="E61" s="131"/>
      <c r="F61" s="131"/>
      <c r="G61" s="131"/>
      <c r="H61" s="131"/>
      <c r="I61" s="131"/>
      <c r="J61" s="2" t="str">
        <f>"Verificadas: "&amp;COUNTIFS(A55:A60,"&lt;&gt;",P55:P60,"&lt;&gt;")&amp;"/"&amp;COUNTIF(A55:A60,"&lt;&gt;")</f>
        <v>Verificadas: 6/6</v>
      </c>
      <c r="K61" s="2"/>
      <c r="L61" s="2"/>
      <c r="M61" s="2"/>
      <c r="N61" s="2"/>
      <c r="O61" s="2"/>
      <c r="P61" s="2"/>
    </row>
    <row r="63" spans="1:19" ht="30" customHeight="1" x14ac:dyDescent="0.25">
      <c r="A63" s="132" t="str">
        <f>TEXT('📅 Semana'!B$13,"DDDD")&amp;"  —  "&amp;TEXT('📅 Semana'!B$13,"DD/MM/")&amp;"2026"</f>
        <v>domingo  —  22/02/2026</v>
      </c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</row>
    <row r="64" spans="1:19" ht="30" customHeight="1" x14ac:dyDescent="0.25">
      <c r="A64" s="70" t="s">
        <v>85</v>
      </c>
      <c r="B64" s="70" t="s">
        <v>86</v>
      </c>
      <c r="C64" s="70" t="s">
        <v>18</v>
      </c>
      <c r="D64" s="70" t="s">
        <v>87</v>
      </c>
      <c r="E64" s="70" t="s">
        <v>88</v>
      </c>
      <c r="F64" s="70" t="s">
        <v>89</v>
      </c>
      <c r="G64" s="70" t="s">
        <v>13</v>
      </c>
      <c r="H64" s="70" t="s">
        <v>14</v>
      </c>
      <c r="I64" s="70" t="s">
        <v>90</v>
      </c>
      <c r="J64" s="70" t="s">
        <v>91</v>
      </c>
      <c r="K64" s="70" t="s">
        <v>92</v>
      </c>
      <c r="L64" s="70" t="s">
        <v>93</v>
      </c>
      <c r="M64" s="70" t="s">
        <v>94</v>
      </c>
      <c r="N64" s="70" t="s">
        <v>37</v>
      </c>
      <c r="O64" s="70" t="s">
        <v>43</v>
      </c>
      <c r="P64" s="61" t="s">
        <v>95</v>
      </c>
      <c r="Q64" s="61" t="s">
        <v>96</v>
      </c>
      <c r="R64" s="61" t="s">
        <v>97</v>
      </c>
      <c r="S64" s="61" t="s">
        <v>98</v>
      </c>
    </row>
    <row r="65" spans="1:19" ht="15" customHeight="1" x14ac:dyDescent="0.25">
      <c r="A65" s="25" t="str">
        <f>IFERROR(MATCH(1,INDEX(('Registro Incidencias'!AX$5:AX$200="Paco"&amp;TEXT('📅 Semana'!B$13,"YYYYMMDD"))*('Registro Incidencias'!AY$5:AY$200=1),),0),"")</f>
        <v/>
      </c>
      <c r="B65" s="62" t="str">
        <f>IF(A65="","",INDEX('Registro Incidencias'!U$5:U$200,A65))</f>
        <v/>
      </c>
      <c r="C65" s="22" t="str">
        <f>IF(A65="","",INDEX('Registro Incidencias'!L$5:L$200,A65))</f>
        <v/>
      </c>
      <c r="D65" s="22" t="str">
        <f>IF(A65="","",INDEX('Registro Incidencias'!A$5:A$200,A65))</f>
        <v/>
      </c>
      <c r="E65" s="22" t="str">
        <f>IF(A65="","",INDEX('Registro Incidencias'!D$5:D$200,A65))</f>
        <v/>
      </c>
      <c r="F65" s="25" t="str">
        <f>IF(A65="","",INDEX('Registro Incidencias'!F$5:F$200,A65))</f>
        <v/>
      </c>
      <c r="G65" s="25" t="str">
        <f>IF(A65="","",INDEX('Registro Incidencias'!G$5:G$200,A65))</f>
        <v/>
      </c>
      <c r="H65" s="25" t="str">
        <f>IF(A65="","",INDEX('Registro Incidencias'!H$5:H$200,A65))</f>
        <v/>
      </c>
      <c r="I65" s="25" t="str">
        <f>IF(A65="","",INDEX('Registro Incidencias'!O$5:O$200,A65))</f>
        <v/>
      </c>
      <c r="J65" s="25" t="str">
        <f>IF(A65="","",INDEX('Registro Incidencias'!R$5:R$200,A65))</f>
        <v/>
      </c>
      <c r="K65" s="25" t="str">
        <f>IF(A65="","",INDEX('Registro Incidencias'!AF$5:AF$200,A65))</f>
        <v/>
      </c>
      <c r="L65" s="28" t="str">
        <f>IF(A65="","",INDEX('Registro Incidencias'!AI$5:AI$200,A65))</f>
        <v/>
      </c>
      <c r="M65" s="22" t="str">
        <f>IF(A65="","",INDEX('Registro Incidencias'!AD$5:AD$200,A65))</f>
        <v/>
      </c>
      <c r="N65" s="25" t="str">
        <f>IF(A65="","",INDEX('Registro Incidencias'!AE$5:AE$200,A65))</f>
        <v/>
      </c>
      <c r="O65" s="22" t="str">
        <f>IF(A65="","",INDEX('Registro Incidencias'!AK$5:AK$200,A65))</f>
        <v/>
      </c>
      <c r="P65" s="63" t="str">
        <f>IF(A65="","",INDEX('Registro Incidencias'!AU$5:AU$200,A65))</f>
        <v/>
      </c>
      <c r="Q65" s="32" t="str">
        <f>IF(A65="","",INDEX('Registro Incidencias'!AV$5:AV$200,A65))</f>
        <v/>
      </c>
      <c r="R65" s="32"/>
      <c r="S65" s="32"/>
    </row>
    <row r="66" spans="1:19" ht="15" customHeight="1" x14ac:dyDescent="0.25">
      <c r="A66" s="36" t="str">
        <f>IFERROR(MATCH(1,INDEX(('Registro Incidencias'!AX$5:AX$200="Paco"&amp;TEXT('📅 Semana'!B$13,"YYYYMMDD"))*('Registro Incidencias'!AY$5:AY$200=2),),0),"")</f>
        <v/>
      </c>
      <c r="B66" s="64" t="str">
        <f>IF(A66="","",INDEX('Registro Incidencias'!U$5:U$200,A66))</f>
        <v/>
      </c>
      <c r="C66" s="33" t="str">
        <f>IF(A66="","",INDEX('Registro Incidencias'!L$5:L$200,A66))</f>
        <v/>
      </c>
      <c r="D66" s="33" t="str">
        <f>IF(A66="","",INDEX('Registro Incidencias'!A$5:A$200,A66))</f>
        <v/>
      </c>
      <c r="E66" s="33" t="str">
        <f>IF(A66="","",INDEX('Registro Incidencias'!D$5:D$200,A66))</f>
        <v/>
      </c>
      <c r="F66" s="36" t="str">
        <f>IF(A66="","",INDEX('Registro Incidencias'!F$5:F$200,A66))</f>
        <v/>
      </c>
      <c r="G66" s="36" t="str">
        <f>IF(A66="","",INDEX('Registro Incidencias'!G$5:G$200,A66))</f>
        <v/>
      </c>
      <c r="H66" s="36" t="str">
        <f>IF(A66="","",INDEX('Registro Incidencias'!H$5:H$200,A66))</f>
        <v/>
      </c>
      <c r="I66" s="36" t="str">
        <f>IF(A66="","",INDEX('Registro Incidencias'!O$5:O$200,A66))</f>
        <v/>
      </c>
      <c r="J66" s="36" t="str">
        <f>IF(A66="","",INDEX('Registro Incidencias'!R$5:R$200,A66))</f>
        <v/>
      </c>
      <c r="K66" s="36" t="str">
        <f>IF(A66="","",INDEX('Registro Incidencias'!AF$5:AF$200,A66))</f>
        <v/>
      </c>
      <c r="L66" s="39" t="str">
        <f>IF(A66="","",INDEX('Registro Incidencias'!AI$5:AI$200,A66))</f>
        <v/>
      </c>
      <c r="M66" s="33" t="str">
        <f>IF(A66="","",INDEX('Registro Incidencias'!AD$5:AD$200,A66))</f>
        <v/>
      </c>
      <c r="N66" s="36" t="str">
        <f>IF(A66="","",INDEX('Registro Incidencias'!AE$5:AE$200,A66))</f>
        <v/>
      </c>
      <c r="O66" s="33" t="str">
        <f>IF(A66="","",INDEX('Registro Incidencias'!AK$5:AK$200,A66))</f>
        <v/>
      </c>
      <c r="P66" s="63" t="str">
        <f>IF(A66="","",INDEX('Registro Incidencias'!AU$5:AU$200,A66))</f>
        <v/>
      </c>
      <c r="Q66" s="32" t="str">
        <f>IF(A66="","",INDEX('Registro Incidencias'!AV$5:AV$200,A66))</f>
        <v/>
      </c>
      <c r="R66" s="32"/>
      <c r="S66" s="32"/>
    </row>
    <row r="67" spans="1:19" ht="15" customHeight="1" x14ac:dyDescent="0.25">
      <c r="A67" s="25" t="str">
        <f>IFERROR(MATCH(1,INDEX(('Registro Incidencias'!AX$5:AX$200="Paco"&amp;TEXT('📅 Semana'!B$13,"YYYYMMDD"))*('Registro Incidencias'!AY$5:AY$200=3),),0),"")</f>
        <v/>
      </c>
      <c r="B67" s="62" t="str">
        <f>IF(A67="","",INDEX('Registro Incidencias'!U$5:U$200,A67))</f>
        <v/>
      </c>
      <c r="C67" s="22" t="str">
        <f>IF(A67="","",INDEX('Registro Incidencias'!L$5:L$200,A67))</f>
        <v/>
      </c>
      <c r="D67" s="22" t="str">
        <f>IF(A67="","",INDEX('Registro Incidencias'!A$5:A$200,A67))</f>
        <v/>
      </c>
      <c r="E67" s="22" t="str">
        <f>IF(A67="","",INDEX('Registro Incidencias'!D$5:D$200,A67))</f>
        <v/>
      </c>
      <c r="F67" s="25" t="str">
        <f>IF(A67="","",INDEX('Registro Incidencias'!F$5:F$200,A67))</f>
        <v/>
      </c>
      <c r="G67" s="25" t="str">
        <f>IF(A67="","",INDEX('Registro Incidencias'!G$5:G$200,A67))</f>
        <v/>
      </c>
      <c r="H67" s="25" t="str">
        <f>IF(A67="","",INDEX('Registro Incidencias'!H$5:H$200,A67))</f>
        <v/>
      </c>
      <c r="I67" s="25" t="str">
        <f>IF(A67="","",INDEX('Registro Incidencias'!O$5:O$200,A67))</f>
        <v/>
      </c>
      <c r="J67" s="25" t="str">
        <f>IF(A67="","",INDEX('Registro Incidencias'!R$5:R$200,A67))</f>
        <v/>
      </c>
      <c r="K67" s="25" t="str">
        <f>IF(A67="","",INDEX('Registro Incidencias'!AF$5:AF$200,A67))</f>
        <v/>
      </c>
      <c r="L67" s="28" t="str">
        <f>IF(A67="","",INDEX('Registro Incidencias'!AI$5:AI$200,A67))</f>
        <v/>
      </c>
      <c r="M67" s="22" t="str">
        <f>IF(A67="","",INDEX('Registro Incidencias'!AD$5:AD$200,A67))</f>
        <v/>
      </c>
      <c r="N67" s="25" t="str">
        <f>IF(A67="","",INDEX('Registro Incidencias'!AE$5:AE$200,A67))</f>
        <v/>
      </c>
      <c r="O67" s="22" t="str">
        <f>IF(A67="","",INDEX('Registro Incidencias'!AK$5:AK$200,A67))</f>
        <v/>
      </c>
      <c r="P67" s="63" t="str">
        <f>IF(A67="","",INDEX('Registro Incidencias'!AU$5:AU$200,A67))</f>
        <v/>
      </c>
      <c r="Q67" s="32" t="str">
        <f>IF(A67="","",INDEX('Registro Incidencias'!AV$5:AV$200,A67))</f>
        <v/>
      </c>
      <c r="R67" s="32"/>
      <c r="S67" s="32"/>
    </row>
    <row r="68" spans="1:19" ht="15" customHeight="1" x14ac:dyDescent="0.25">
      <c r="A68" s="36" t="str">
        <f>IFERROR(MATCH(1,INDEX(('Registro Incidencias'!AX$5:AX$200="Paco"&amp;TEXT('📅 Semana'!B$13,"YYYYMMDD"))*('Registro Incidencias'!AY$5:AY$200=4),),0),"")</f>
        <v/>
      </c>
      <c r="B68" s="64" t="str">
        <f>IF(A68="","",INDEX('Registro Incidencias'!U$5:U$200,A68))</f>
        <v/>
      </c>
      <c r="C68" s="33" t="str">
        <f>IF(A68="","",INDEX('Registro Incidencias'!L$5:L$200,A68))</f>
        <v/>
      </c>
      <c r="D68" s="33" t="str">
        <f>IF(A68="","",INDEX('Registro Incidencias'!A$5:A$200,A68))</f>
        <v/>
      </c>
      <c r="E68" s="33" t="str">
        <f>IF(A68="","",INDEX('Registro Incidencias'!D$5:D$200,A68))</f>
        <v/>
      </c>
      <c r="F68" s="36" t="str">
        <f>IF(A68="","",INDEX('Registro Incidencias'!F$5:F$200,A68))</f>
        <v/>
      </c>
      <c r="G68" s="36" t="str">
        <f>IF(A68="","",INDEX('Registro Incidencias'!G$5:G$200,A68))</f>
        <v/>
      </c>
      <c r="H68" s="36" t="str">
        <f>IF(A68="","",INDEX('Registro Incidencias'!H$5:H$200,A68))</f>
        <v/>
      </c>
      <c r="I68" s="36" t="str">
        <f>IF(A68="","",INDEX('Registro Incidencias'!O$5:O$200,A68))</f>
        <v/>
      </c>
      <c r="J68" s="36" t="str">
        <f>IF(A68="","",INDEX('Registro Incidencias'!R$5:R$200,A68))</f>
        <v/>
      </c>
      <c r="K68" s="36" t="str">
        <f>IF(A68="","",INDEX('Registro Incidencias'!AF$5:AF$200,A68))</f>
        <v/>
      </c>
      <c r="L68" s="39" t="str">
        <f>IF(A68="","",INDEX('Registro Incidencias'!AI$5:AI$200,A68))</f>
        <v/>
      </c>
      <c r="M68" s="33" t="str">
        <f>IF(A68="","",INDEX('Registro Incidencias'!AD$5:AD$200,A68))</f>
        <v/>
      </c>
      <c r="N68" s="36" t="str">
        <f>IF(A68="","",INDEX('Registro Incidencias'!AE$5:AE$200,A68))</f>
        <v/>
      </c>
      <c r="O68" s="33" t="str">
        <f>IF(A68="","",INDEX('Registro Incidencias'!AK$5:AK$200,A68))</f>
        <v/>
      </c>
      <c r="P68" s="63" t="str">
        <f>IF(A68="","",INDEX('Registro Incidencias'!AU$5:AU$200,A68))</f>
        <v/>
      </c>
      <c r="Q68" s="32" t="str">
        <f>IF(A68="","",INDEX('Registro Incidencias'!AV$5:AV$200,A68))</f>
        <v/>
      </c>
      <c r="R68" s="32"/>
      <c r="S68" s="32"/>
    </row>
    <row r="69" spans="1:19" ht="15" customHeight="1" x14ac:dyDescent="0.25">
      <c r="A69" s="25" t="str">
        <f>IFERROR(MATCH(1,INDEX(('Registro Incidencias'!AX$5:AX$200="Paco"&amp;TEXT('📅 Semana'!B$13,"YYYYMMDD"))*('Registro Incidencias'!AY$5:AY$200=5),),0),"")</f>
        <v/>
      </c>
      <c r="B69" s="62" t="str">
        <f>IF(A69="","",INDEX('Registro Incidencias'!U$5:U$200,A69))</f>
        <v/>
      </c>
      <c r="C69" s="22" t="str">
        <f>IF(A69="","",INDEX('Registro Incidencias'!L$5:L$200,A69))</f>
        <v/>
      </c>
      <c r="D69" s="22" t="str">
        <f>IF(A69="","",INDEX('Registro Incidencias'!A$5:A$200,A69))</f>
        <v/>
      </c>
      <c r="E69" s="22" t="str">
        <f>IF(A69="","",INDEX('Registro Incidencias'!D$5:D$200,A69))</f>
        <v/>
      </c>
      <c r="F69" s="25" t="str">
        <f>IF(A69="","",INDEX('Registro Incidencias'!F$5:F$200,A69))</f>
        <v/>
      </c>
      <c r="G69" s="25" t="str">
        <f>IF(A69="","",INDEX('Registro Incidencias'!G$5:G$200,A69))</f>
        <v/>
      </c>
      <c r="H69" s="25" t="str">
        <f>IF(A69="","",INDEX('Registro Incidencias'!H$5:H$200,A69))</f>
        <v/>
      </c>
      <c r="I69" s="25" t="str">
        <f>IF(A69="","",INDEX('Registro Incidencias'!O$5:O$200,A69))</f>
        <v/>
      </c>
      <c r="J69" s="25" t="str">
        <f>IF(A69="","",INDEX('Registro Incidencias'!R$5:R$200,A69))</f>
        <v/>
      </c>
      <c r="K69" s="25" t="str">
        <f>IF(A69="","",INDEX('Registro Incidencias'!AF$5:AF$200,A69))</f>
        <v/>
      </c>
      <c r="L69" s="28" t="str">
        <f>IF(A69="","",INDEX('Registro Incidencias'!AI$5:AI$200,A69))</f>
        <v/>
      </c>
      <c r="M69" s="22" t="str">
        <f>IF(A69="","",INDEX('Registro Incidencias'!AD$5:AD$200,A69))</f>
        <v/>
      </c>
      <c r="N69" s="25" t="str">
        <f>IF(A69="","",INDEX('Registro Incidencias'!AE$5:AE$200,A69))</f>
        <v/>
      </c>
      <c r="O69" s="22" t="str">
        <f>IF(A69="","",INDEX('Registro Incidencias'!AK$5:AK$200,A69))</f>
        <v/>
      </c>
      <c r="P69" s="63" t="str">
        <f>IF(A69="","",INDEX('Registro Incidencias'!AU$5:AU$200,A69))</f>
        <v/>
      </c>
      <c r="Q69" s="32" t="str">
        <f>IF(A69="","",INDEX('Registro Incidencias'!AV$5:AV$200,A69))</f>
        <v/>
      </c>
      <c r="R69" s="32"/>
      <c r="S69" s="32"/>
    </row>
    <row r="70" spans="1:19" ht="15" customHeight="1" x14ac:dyDescent="0.25">
      <c r="A70" s="36" t="str">
        <f>IFERROR(MATCH(1,INDEX(('Registro Incidencias'!AX$5:AX$200="Paco"&amp;TEXT('📅 Semana'!B$13,"YYYYMMDD"))*('Registro Incidencias'!AY$5:AY$200=6),),0),"")</f>
        <v/>
      </c>
      <c r="B70" s="64" t="str">
        <f>IF(A70="","",INDEX('Registro Incidencias'!U$5:U$200,A70))</f>
        <v/>
      </c>
      <c r="C70" s="33" t="str">
        <f>IF(A70="","",INDEX('Registro Incidencias'!L$5:L$200,A70))</f>
        <v/>
      </c>
      <c r="D70" s="33" t="str">
        <f>IF(A70="","",INDEX('Registro Incidencias'!A$5:A$200,A70))</f>
        <v/>
      </c>
      <c r="E70" s="33" t="str">
        <f>IF(A70="","",INDEX('Registro Incidencias'!D$5:D$200,A70))</f>
        <v/>
      </c>
      <c r="F70" s="36" t="str">
        <f>IF(A70="","",INDEX('Registro Incidencias'!F$5:F$200,A70))</f>
        <v/>
      </c>
      <c r="G70" s="36" t="str">
        <f>IF(A70="","",INDEX('Registro Incidencias'!G$5:G$200,A70))</f>
        <v/>
      </c>
      <c r="H70" s="36" t="str">
        <f>IF(A70="","",INDEX('Registro Incidencias'!H$5:H$200,A70))</f>
        <v/>
      </c>
      <c r="I70" s="36" t="str">
        <f>IF(A70="","",INDEX('Registro Incidencias'!O$5:O$200,A70))</f>
        <v/>
      </c>
      <c r="J70" s="36" t="str">
        <f>IF(A70="","",INDEX('Registro Incidencias'!R$5:R$200,A70))</f>
        <v/>
      </c>
      <c r="K70" s="36" t="str">
        <f>IF(A70="","",INDEX('Registro Incidencias'!AF$5:AF$200,A70))</f>
        <v/>
      </c>
      <c r="L70" s="39" t="str">
        <f>IF(A70="","",INDEX('Registro Incidencias'!AI$5:AI$200,A70))</f>
        <v/>
      </c>
      <c r="M70" s="33" t="str">
        <f>IF(A70="","",INDEX('Registro Incidencias'!AD$5:AD$200,A70))</f>
        <v/>
      </c>
      <c r="N70" s="36" t="str">
        <f>IF(A70="","",INDEX('Registro Incidencias'!AE$5:AE$200,A70))</f>
        <v/>
      </c>
      <c r="O70" s="33" t="str">
        <f>IF(A70="","",INDEX('Registro Incidencias'!AK$5:AK$200,A70))</f>
        <v/>
      </c>
      <c r="P70" s="63" t="str">
        <f>IF(A70="","",INDEX('Registro Incidencias'!AU$5:AU$200,A70))</f>
        <v/>
      </c>
      <c r="Q70" s="32" t="str">
        <f>IF(A70="","",INDEX('Registro Incidencias'!AV$5:AV$200,A70))</f>
        <v/>
      </c>
      <c r="R70" s="32"/>
      <c r="S70" s="32"/>
    </row>
    <row r="71" spans="1:19" ht="21.75" customHeight="1" x14ac:dyDescent="0.25">
      <c r="A71" s="133" t="str">
        <f>COUNTIFS('Registro Incidencias'!S$5:S$200,"Paco",'Registro Incidencias'!T$5:T$200,'📅 Semana'!B$13)&amp;" averías"</f>
        <v>0 averías</v>
      </c>
      <c r="B71" s="133"/>
      <c r="C71" s="133"/>
      <c r="D71" s="133"/>
      <c r="E71" s="133"/>
      <c r="F71" s="133"/>
      <c r="G71" s="133"/>
      <c r="H71" s="133"/>
      <c r="I71" s="133"/>
      <c r="J71" s="2" t="str">
        <f>"Verificadas: "&amp;COUNTIFS(A65:A70,"&lt;&gt;",P65:P70,"&lt;&gt;")&amp;"/"&amp;COUNTIF(A65:A70,"&lt;&gt;")</f>
        <v>Verificadas: 6/6</v>
      </c>
      <c r="K71" s="2"/>
      <c r="L71" s="2"/>
      <c r="M71" s="2"/>
      <c r="N71" s="2"/>
      <c r="O71" s="2"/>
      <c r="P71" s="2"/>
    </row>
    <row r="74" spans="1:19" ht="15" customHeight="1" x14ac:dyDescent="0.25">
      <c r="A74" s="10" t="s">
        <v>112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1:19" ht="18" customHeight="1" x14ac:dyDescent="0.25">
      <c r="A75" s="134" t="s">
        <v>100</v>
      </c>
      <c r="B75" s="134"/>
      <c r="C75" s="134"/>
      <c r="D75" s="134"/>
      <c r="E75" s="134"/>
      <c r="F75" s="134"/>
      <c r="G75" s="134"/>
      <c r="H75" s="134"/>
      <c r="I75" s="134"/>
      <c r="J75" s="77">
        <f>COUNTIFS('Registro Incidencias'!S$5:S$200,"Paco",'Registro Incidencias'!T$5:T$200,"&gt;="&amp;'📅 Semana'!B$7,'Registro Incidencias'!T$5:T$200,"&lt;="&amp;'📅 Semana'!B$13)</f>
        <v>0</v>
      </c>
    </row>
    <row r="76" spans="1:19" ht="18" customHeight="1" x14ac:dyDescent="0.25">
      <c r="A76" s="135" t="s">
        <v>101</v>
      </c>
      <c r="B76" s="135"/>
      <c r="C76" s="135"/>
      <c r="D76" s="135"/>
      <c r="E76" s="135"/>
      <c r="F76" s="135"/>
      <c r="G76" s="135"/>
      <c r="H76" s="135"/>
      <c r="I76" s="135"/>
      <c r="J76" s="78">
        <f>COUNTIFS('Registro Incidencias'!S$5:S$200,"Paco",'Registro Incidencias'!T$5:T$200,"&gt;="&amp;'📅 Semana'!B$7,'Registro Incidencias'!T$5:T$200,"&lt;="&amp;'📅 Semana'!B$13,'Registro Incidencias'!AK$5:AK$200,"*Resuelta*")</f>
        <v>0</v>
      </c>
    </row>
    <row r="77" spans="1:19" ht="18" customHeight="1" x14ac:dyDescent="0.25">
      <c r="A77" s="134" t="s">
        <v>102</v>
      </c>
      <c r="B77" s="134"/>
      <c r="C77" s="134"/>
      <c r="D77" s="134"/>
      <c r="E77" s="134"/>
      <c r="F77" s="134"/>
      <c r="G77" s="134"/>
      <c r="H77" s="134"/>
      <c r="I77" s="134"/>
      <c r="J77" s="77">
        <f>COUNTIFS('Registro Incidencias'!S$5:S$200,"Paco",'Registro Incidencias'!T$5:T$200,"&gt;="&amp;'📅 Semana'!B$7,'Registro Incidencias'!T$5:T$200,"&lt;="&amp;'📅 Semana'!B$13,'Registro Incidencias'!AK$5:AK$200,"*No resuelta*")</f>
        <v>0</v>
      </c>
    </row>
    <row r="78" spans="1:19" ht="18" customHeight="1" x14ac:dyDescent="0.25">
      <c r="A78" s="135" t="s">
        <v>103</v>
      </c>
      <c r="B78" s="135"/>
      <c r="C78" s="135"/>
      <c r="D78" s="135"/>
      <c r="E78" s="135"/>
      <c r="F78" s="135"/>
      <c r="G78" s="135"/>
      <c r="H78" s="135"/>
      <c r="I78" s="135"/>
      <c r="J78" s="78">
        <f>COUNTIFS('Registro Incidencias'!S$5:S$200,"Paco",'Registro Incidencias'!T$5:T$200,"&gt;="&amp;'📅 Semana'!B$7,'Registro Incidencias'!T$5:T$200,"&lt;="&amp;'📅 Semana'!B$13,'Registro Incidencias'!AK$5:AK$200,"*Pospuesta*")</f>
        <v>0</v>
      </c>
    </row>
    <row r="79" spans="1:19" ht="18" customHeight="1" x14ac:dyDescent="0.25">
      <c r="A79" s="134" t="s">
        <v>104</v>
      </c>
      <c r="B79" s="134"/>
      <c r="C79" s="134"/>
      <c r="D79" s="134"/>
      <c r="E79" s="134"/>
      <c r="F79" s="134"/>
      <c r="G79" s="134"/>
      <c r="H79" s="134"/>
      <c r="I79" s="134"/>
      <c r="J79" s="77">
        <f>COUNTIFS('Registro Incidencias'!S$5:S$200,"Paco",'Registro Incidencias'!T$5:T$200,"&gt;="&amp;'📅 Semana'!B$7,'Registro Incidencias'!T$5:T$200,"&lt;="&amp;'📅 Semana'!B$13,'Registro Incidencias'!AD$5:AD$200,"&gt;1")</f>
        <v>0</v>
      </c>
    </row>
    <row r="80" spans="1:19" ht="18" customHeight="1" x14ac:dyDescent="0.25">
      <c r="A80" s="135" t="s">
        <v>105</v>
      </c>
      <c r="B80" s="135"/>
      <c r="C80" s="135"/>
      <c r="D80" s="135"/>
      <c r="E80" s="135"/>
      <c r="F80" s="135"/>
      <c r="G80" s="135"/>
      <c r="H80" s="135"/>
      <c r="I80" s="135"/>
      <c r="J80" s="78">
        <f>COUNTIFS('Registro Incidencias'!S$5:S$200,"Paco",'Registro Incidencias'!T$5:T$200,"&gt;="&amp;'📅 Semana'!B$7,'Registro Incidencias'!T$5:T$200,"&lt;="&amp;'📅 Semana'!B$13,'Registro Incidencias'!AE$5:AE$200,"Fallo del técnico")</f>
        <v>0</v>
      </c>
    </row>
    <row r="81" spans="1:10" ht="18" customHeight="1" x14ac:dyDescent="0.25">
      <c r="A81" s="134" t="s">
        <v>106</v>
      </c>
      <c r="B81" s="134"/>
      <c r="C81" s="134"/>
      <c r="D81" s="134"/>
      <c r="E81" s="134"/>
      <c r="F81" s="134"/>
      <c r="G81" s="134"/>
      <c r="H81" s="134"/>
      <c r="I81" s="134"/>
      <c r="J81" s="77">
        <f>COUNTIFS('Registro Incidencias'!S$5:S$200,"Paco",'Registro Incidencias'!T$5:T$200,"&gt;="&amp;'📅 Semana'!B$7,'Registro Incidencias'!T$5:T$200,"&lt;="&amp;'📅 Semana'!B$13,'Registro Incidencias'!AE$5:AE$200,"Falta de material")</f>
        <v>0</v>
      </c>
    </row>
    <row r="82" spans="1:10" ht="18" customHeight="1" x14ac:dyDescent="0.25">
      <c r="A82" s="135" t="s">
        <v>107</v>
      </c>
      <c r="B82" s="135"/>
      <c r="C82" s="135"/>
      <c r="D82" s="135"/>
      <c r="E82" s="135"/>
      <c r="F82" s="135"/>
      <c r="G82" s="135"/>
      <c r="H82" s="135"/>
      <c r="I82" s="135"/>
      <c r="J82" s="79">
        <f>SUMIFS('Registro Incidencias'!AS$5:AS$200,'Registro Incidencias'!S$5:S$200,"Paco",'Registro Incidencias'!T$5:T$200,"&gt;="&amp;'📅 Semana'!B$7,'Registro Incidencias'!T$5:T$200,"&lt;="&amp;'📅 Semana'!B$13)</f>
        <v>0</v>
      </c>
    </row>
    <row r="83" spans="1:10" ht="18" customHeight="1" x14ac:dyDescent="0.25">
      <c r="A83" s="134" t="s">
        <v>108</v>
      </c>
      <c r="B83" s="134"/>
      <c r="C83" s="134"/>
      <c r="D83" s="134"/>
      <c r="E83" s="134"/>
      <c r="F83" s="134"/>
      <c r="G83" s="134"/>
      <c r="H83" s="134"/>
      <c r="I83" s="134"/>
      <c r="J83" s="77">
        <f>SUMIFS('Registro Incidencias'!X$5:X$200,'Registro Incidencias'!S$5:S$200,"Paco",'Registro Incidencias'!T$5:T$200,"&gt;="&amp;'📅 Semana'!B$7,'Registro Incidencias'!T$5:T$200,"&lt;="&amp;'📅 Semana'!B$13)</f>
        <v>0</v>
      </c>
    </row>
  </sheetData>
  <mergeCells count="33">
    <mergeCell ref="A79:I79"/>
    <mergeCell ref="A80:I80"/>
    <mergeCell ref="A81:I81"/>
    <mergeCell ref="A82:I82"/>
    <mergeCell ref="A83:I83"/>
    <mergeCell ref="A74:S74"/>
    <mergeCell ref="A75:I75"/>
    <mergeCell ref="A76:I76"/>
    <mergeCell ref="A77:I77"/>
    <mergeCell ref="A78:I78"/>
    <mergeCell ref="A53:S53"/>
    <mergeCell ref="A61:I61"/>
    <mergeCell ref="J61:P61"/>
    <mergeCell ref="A63:S63"/>
    <mergeCell ref="A71:I71"/>
    <mergeCell ref="J71:P71"/>
    <mergeCell ref="A33:S33"/>
    <mergeCell ref="A41:I41"/>
    <mergeCell ref="J41:P41"/>
    <mergeCell ref="A43:S43"/>
    <mergeCell ref="A51:I51"/>
    <mergeCell ref="J51:P51"/>
    <mergeCell ref="A13:S13"/>
    <mergeCell ref="A21:I21"/>
    <mergeCell ref="J21:P21"/>
    <mergeCell ref="A23:S23"/>
    <mergeCell ref="A31:I31"/>
    <mergeCell ref="J31:P31"/>
    <mergeCell ref="A1:S1"/>
    <mergeCell ref="A2:S2"/>
    <mergeCell ref="A3:S3"/>
    <mergeCell ref="A11:I11"/>
    <mergeCell ref="J11:P11"/>
  </mergeCells>
  <conditionalFormatting sqref="A5:R73">
    <cfRule type="expression" dxfId="23" priority="6">
      <formula>OR(ISNUMBER(SEARCH("Resuelta",$O5)),ISNUMBER(SEARCH("Cerrada",$O5)))</formula>
    </cfRule>
    <cfRule type="expression" dxfId="22" priority="7">
      <formula>OR(ISNUMBER(SEARCH("Pospuesta",$O5)),ISNUMBER(SEARCH("Espera",$O5)))</formula>
    </cfRule>
    <cfRule type="expression" dxfId="21" priority="8">
      <formula>ISNUMBER(SEARCH("No resuelta",$O5))</formula>
    </cfRule>
  </conditionalFormatting>
  <conditionalFormatting sqref="C5:C73">
    <cfRule type="expression" dxfId="20" priority="2">
      <formula>NOT(ISERROR(SEARCH("CRÍTICA",C5)))</formula>
    </cfRule>
    <cfRule type="expression" dxfId="19" priority="3">
      <formula>NOT(ISERROR(SEARCH("ALTA",C5)))</formula>
    </cfRule>
    <cfRule type="expression" dxfId="18" priority="4">
      <formula>NOT(ISERROR(SEARCH("MEDIA",C5)))</formula>
    </cfRule>
    <cfRule type="expression" dxfId="17" priority="5">
      <formula>NOT(ISERROR(SEARCH("BAJA",C5)))</formula>
    </cfRule>
  </conditionalFormatting>
  <conditionalFormatting sqref="P5:P73">
    <cfRule type="expression" dxfId="16" priority="9">
      <formula>P5&lt;&gt;""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C3483"/>
  </sheetPr>
  <dimension ref="A1:S83"/>
  <sheetViews>
    <sheetView zoomScaleNormal="100" workbookViewId="0">
      <pane ySplit="2" topLeftCell="A3" activePane="bottomLeft" state="frozen"/>
      <selection pane="bottomLeft" sqref="A1:S1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11" customWidth="1"/>
    <col min="4" max="4" width="12" customWidth="1"/>
    <col min="5" max="5" width="10" customWidth="1"/>
    <col min="6" max="6" width="22" customWidth="1"/>
    <col min="7" max="7" width="24" customWidth="1"/>
    <col min="8" max="8" width="13" customWidth="1"/>
    <col min="9" max="9" width="14" customWidth="1"/>
    <col min="10" max="10" width="24" customWidth="1"/>
    <col min="11" max="11" width="22" customWidth="1"/>
    <col min="12" max="12" width="10" customWidth="1"/>
    <col min="13" max="13" width="7" customWidth="1"/>
    <col min="14" max="14" width="20" customWidth="1"/>
    <col min="15" max="15" width="13" customWidth="1"/>
    <col min="16" max="16" width="28" customWidth="1"/>
    <col min="17" max="17" width="14" customWidth="1"/>
    <col min="18" max="18" width="16" customWidth="1"/>
    <col min="19" max="19" width="18" customWidth="1"/>
  </cols>
  <sheetData>
    <row r="1" spans="1:19" ht="42" customHeight="1" x14ac:dyDescent="0.25">
      <c r="A1" s="138" t="s">
        <v>113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</row>
    <row r="2" spans="1:19" ht="25.5" customHeight="1" x14ac:dyDescent="0.25">
      <c r="A2" s="13" t="s">
        <v>84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30" customHeight="1" x14ac:dyDescent="0.25">
      <c r="A3" s="4" t="str">
        <f>TEXT('📅 Semana'!B$7,"DDDD")&amp;"  —  "&amp;TEXT('📅 Semana'!B$7,"DD/MM/")&amp;"2026"</f>
        <v>lunes  —  16/02/2026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30" customHeight="1" x14ac:dyDescent="0.25">
      <c r="A4" s="60" t="s">
        <v>85</v>
      </c>
      <c r="B4" s="60" t="s">
        <v>86</v>
      </c>
      <c r="C4" s="60" t="s">
        <v>18</v>
      </c>
      <c r="D4" s="60" t="s">
        <v>87</v>
      </c>
      <c r="E4" s="60" t="s">
        <v>88</v>
      </c>
      <c r="F4" s="60" t="s">
        <v>89</v>
      </c>
      <c r="G4" s="60" t="s">
        <v>13</v>
      </c>
      <c r="H4" s="60" t="s">
        <v>14</v>
      </c>
      <c r="I4" s="60" t="s">
        <v>90</v>
      </c>
      <c r="J4" s="60" t="s">
        <v>91</v>
      </c>
      <c r="K4" s="60" t="s">
        <v>92</v>
      </c>
      <c r="L4" s="60" t="s">
        <v>93</v>
      </c>
      <c r="M4" s="60" t="s">
        <v>94</v>
      </c>
      <c r="N4" s="60" t="s">
        <v>37</v>
      </c>
      <c r="O4" s="60" t="s">
        <v>43</v>
      </c>
      <c r="P4" s="61" t="s">
        <v>95</v>
      </c>
      <c r="Q4" s="61" t="s">
        <v>96</v>
      </c>
      <c r="R4" s="61" t="s">
        <v>97</v>
      </c>
      <c r="S4" s="61" t="s">
        <v>98</v>
      </c>
    </row>
    <row r="5" spans="1:19" ht="15" customHeight="1" x14ac:dyDescent="0.25">
      <c r="A5" s="25" t="str">
        <f>IFERROR(MATCH(1,INDEX(('Registro Incidencias'!AX$5:AX$200="Juan Manuel"&amp;TEXT('📅 Semana'!B$7,"YYYYMMDD"))*('Registro Incidencias'!AY$5:AY$200=1),),0),"")</f>
        <v/>
      </c>
      <c r="B5" s="62" t="str">
        <f>IF(A5="","",INDEX('Registro Incidencias'!U$5:U$200,A5))</f>
        <v/>
      </c>
      <c r="C5" s="22" t="str">
        <f>IF(A5="","",INDEX('Registro Incidencias'!L$5:L$200,A5))</f>
        <v/>
      </c>
      <c r="D5" s="22" t="str">
        <f>IF(A5="","",INDEX('Registro Incidencias'!A$5:A$200,A5))</f>
        <v/>
      </c>
      <c r="E5" s="22" t="str">
        <f>IF(A5="","",INDEX('Registro Incidencias'!D$5:D$200,A5))</f>
        <v/>
      </c>
      <c r="F5" s="25" t="str">
        <f>IF(A5="","",INDEX('Registro Incidencias'!F$5:F$200,A5))</f>
        <v/>
      </c>
      <c r="G5" s="25" t="str">
        <f>IF(A5="","",INDEX('Registro Incidencias'!G$5:G$200,A5))</f>
        <v/>
      </c>
      <c r="H5" s="25" t="str">
        <f>IF(A5="","",INDEX('Registro Incidencias'!H$5:H$200,A5))</f>
        <v/>
      </c>
      <c r="I5" s="25" t="str">
        <f>IF(A5="","",INDEX('Registro Incidencias'!O$5:O$200,A5))</f>
        <v/>
      </c>
      <c r="J5" s="25" t="str">
        <f>IF(A5="","",INDEX('Registro Incidencias'!R$5:R$200,A5))</f>
        <v/>
      </c>
      <c r="K5" s="25" t="str">
        <f>IF(A5="","",INDEX('Registro Incidencias'!AF$5:AF$200,A5))</f>
        <v/>
      </c>
      <c r="L5" s="28" t="str">
        <f>IF(A5="","",INDEX('Registro Incidencias'!AI$5:AI$200,A5))</f>
        <v/>
      </c>
      <c r="M5" s="22" t="str">
        <f>IF(A5="","",INDEX('Registro Incidencias'!AD$5:AD$200,A5))</f>
        <v/>
      </c>
      <c r="N5" s="25" t="str">
        <f>IF(A5="","",INDEX('Registro Incidencias'!AE$5:AE$200,A5))</f>
        <v/>
      </c>
      <c r="O5" s="22" t="str">
        <f>IF(A5="","",INDEX('Registro Incidencias'!AK$5:AK$200,A5))</f>
        <v/>
      </c>
      <c r="P5" s="63" t="str">
        <f>IF(A5="","",INDEX('Registro Incidencias'!AU$5:AU$200,A5))</f>
        <v/>
      </c>
      <c r="Q5" s="32" t="str">
        <f>IF(A5="","",INDEX('Registro Incidencias'!AV$5:AV$200,A5))</f>
        <v/>
      </c>
      <c r="R5" s="32"/>
      <c r="S5" s="32"/>
    </row>
    <row r="6" spans="1:19" ht="15" customHeight="1" x14ac:dyDescent="0.25">
      <c r="A6" s="36" t="str">
        <f>IFERROR(MATCH(1,INDEX(('Registro Incidencias'!AX$5:AX$200="Juan Manuel"&amp;TEXT('📅 Semana'!B$7,"YYYYMMDD"))*('Registro Incidencias'!AY$5:AY$200=2),),0),"")</f>
        <v/>
      </c>
      <c r="B6" s="64" t="str">
        <f>IF(A6="","",INDEX('Registro Incidencias'!U$5:U$200,A6))</f>
        <v/>
      </c>
      <c r="C6" s="33" t="str">
        <f>IF(A6="","",INDEX('Registro Incidencias'!L$5:L$200,A6))</f>
        <v/>
      </c>
      <c r="D6" s="33" t="str">
        <f>IF(A6="","",INDEX('Registro Incidencias'!A$5:A$200,A6))</f>
        <v/>
      </c>
      <c r="E6" s="33" t="str">
        <f>IF(A6="","",INDEX('Registro Incidencias'!D$5:D$200,A6))</f>
        <v/>
      </c>
      <c r="F6" s="36" t="str">
        <f>IF(A6="","",INDEX('Registro Incidencias'!F$5:F$200,A6))</f>
        <v/>
      </c>
      <c r="G6" s="36" t="str">
        <f>IF(A6="","",INDEX('Registro Incidencias'!G$5:G$200,A6))</f>
        <v/>
      </c>
      <c r="H6" s="36" t="str">
        <f>IF(A6="","",INDEX('Registro Incidencias'!H$5:H$200,A6))</f>
        <v/>
      </c>
      <c r="I6" s="36" t="str">
        <f>IF(A6="","",INDEX('Registro Incidencias'!O$5:O$200,A6))</f>
        <v/>
      </c>
      <c r="J6" s="36" t="str">
        <f>IF(A6="","",INDEX('Registro Incidencias'!R$5:R$200,A6))</f>
        <v/>
      </c>
      <c r="K6" s="36" t="str">
        <f>IF(A6="","",INDEX('Registro Incidencias'!AF$5:AF$200,A6))</f>
        <v/>
      </c>
      <c r="L6" s="39" t="str">
        <f>IF(A6="","",INDEX('Registro Incidencias'!AI$5:AI$200,A6))</f>
        <v/>
      </c>
      <c r="M6" s="33" t="str">
        <f>IF(A6="","",INDEX('Registro Incidencias'!AD$5:AD$200,A6))</f>
        <v/>
      </c>
      <c r="N6" s="36" t="str">
        <f>IF(A6="","",INDEX('Registro Incidencias'!AE$5:AE$200,A6))</f>
        <v/>
      </c>
      <c r="O6" s="33" t="str">
        <f>IF(A6="","",INDEX('Registro Incidencias'!AK$5:AK$200,A6))</f>
        <v/>
      </c>
      <c r="P6" s="63" t="str">
        <f>IF(A6="","",INDEX('Registro Incidencias'!AU$5:AU$200,A6))</f>
        <v/>
      </c>
      <c r="Q6" s="32" t="str">
        <f>IF(A6="","",INDEX('Registro Incidencias'!AV$5:AV$200,A6))</f>
        <v/>
      </c>
      <c r="R6" s="32"/>
      <c r="S6" s="32"/>
    </row>
    <row r="7" spans="1:19" ht="15" customHeight="1" x14ac:dyDescent="0.25">
      <c r="A7" s="25" t="str">
        <f>IFERROR(MATCH(1,INDEX(('Registro Incidencias'!AX$5:AX$200="Juan Manuel"&amp;TEXT('📅 Semana'!B$7,"YYYYMMDD"))*('Registro Incidencias'!AY$5:AY$200=3),),0),"")</f>
        <v/>
      </c>
      <c r="B7" s="62" t="str">
        <f>IF(A7="","",INDEX('Registro Incidencias'!U$5:U$200,A7))</f>
        <v/>
      </c>
      <c r="C7" s="22" t="str">
        <f>IF(A7="","",INDEX('Registro Incidencias'!L$5:L$200,A7))</f>
        <v/>
      </c>
      <c r="D7" s="22" t="str">
        <f>IF(A7="","",INDEX('Registro Incidencias'!A$5:A$200,A7))</f>
        <v/>
      </c>
      <c r="E7" s="22" t="str">
        <f>IF(A7="","",INDEX('Registro Incidencias'!D$5:D$200,A7))</f>
        <v/>
      </c>
      <c r="F7" s="25" t="str">
        <f>IF(A7="","",INDEX('Registro Incidencias'!F$5:F$200,A7))</f>
        <v/>
      </c>
      <c r="G7" s="25" t="str">
        <f>IF(A7="","",INDEX('Registro Incidencias'!G$5:G$200,A7))</f>
        <v/>
      </c>
      <c r="H7" s="25" t="str">
        <f>IF(A7="","",INDEX('Registro Incidencias'!H$5:H$200,A7))</f>
        <v/>
      </c>
      <c r="I7" s="25" t="str">
        <f>IF(A7="","",INDEX('Registro Incidencias'!O$5:O$200,A7))</f>
        <v/>
      </c>
      <c r="J7" s="25" t="str">
        <f>IF(A7="","",INDEX('Registro Incidencias'!R$5:R$200,A7))</f>
        <v/>
      </c>
      <c r="K7" s="25" t="str">
        <f>IF(A7="","",INDEX('Registro Incidencias'!AF$5:AF$200,A7))</f>
        <v/>
      </c>
      <c r="L7" s="28" t="str">
        <f>IF(A7="","",INDEX('Registro Incidencias'!AI$5:AI$200,A7))</f>
        <v/>
      </c>
      <c r="M7" s="22" t="str">
        <f>IF(A7="","",INDEX('Registro Incidencias'!AD$5:AD$200,A7))</f>
        <v/>
      </c>
      <c r="N7" s="25" t="str">
        <f>IF(A7="","",INDEX('Registro Incidencias'!AE$5:AE$200,A7))</f>
        <v/>
      </c>
      <c r="O7" s="22" t="str">
        <f>IF(A7="","",INDEX('Registro Incidencias'!AK$5:AK$200,A7))</f>
        <v/>
      </c>
      <c r="P7" s="63" t="str">
        <f>IF(A7="","",INDEX('Registro Incidencias'!AU$5:AU$200,A7))</f>
        <v/>
      </c>
      <c r="Q7" s="32" t="str">
        <f>IF(A7="","",INDEX('Registro Incidencias'!AV$5:AV$200,A7))</f>
        <v/>
      </c>
      <c r="R7" s="32"/>
      <c r="S7" s="32"/>
    </row>
    <row r="8" spans="1:19" ht="15" customHeight="1" x14ac:dyDescent="0.25">
      <c r="A8" s="36" t="str">
        <f>IFERROR(MATCH(1,INDEX(('Registro Incidencias'!AX$5:AX$200="Juan Manuel"&amp;TEXT('📅 Semana'!B$7,"YYYYMMDD"))*('Registro Incidencias'!AY$5:AY$200=4),),0),"")</f>
        <v/>
      </c>
      <c r="B8" s="64" t="str">
        <f>IF(A8="","",INDEX('Registro Incidencias'!U$5:U$200,A8))</f>
        <v/>
      </c>
      <c r="C8" s="33" t="str">
        <f>IF(A8="","",INDEX('Registro Incidencias'!L$5:L$200,A8))</f>
        <v/>
      </c>
      <c r="D8" s="33" t="str">
        <f>IF(A8="","",INDEX('Registro Incidencias'!A$5:A$200,A8))</f>
        <v/>
      </c>
      <c r="E8" s="33" t="str">
        <f>IF(A8="","",INDEX('Registro Incidencias'!D$5:D$200,A8))</f>
        <v/>
      </c>
      <c r="F8" s="36" t="str">
        <f>IF(A8="","",INDEX('Registro Incidencias'!F$5:F$200,A8))</f>
        <v/>
      </c>
      <c r="G8" s="36" t="str">
        <f>IF(A8="","",INDEX('Registro Incidencias'!G$5:G$200,A8))</f>
        <v/>
      </c>
      <c r="H8" s="36" t="str">
        <f>IF(A8="","",INDEX('Registro Incidencias'!H$5:H$200,A8))</f>
        <v/>
      </c>
      <c r="I8" s="36" t="str">
        <f>IF(A8="","",INDEX('Registro Incidencias'!O$5:O$200,A8))</f>
        <v/>
      </c>
      <c r="J8" s="36" t="str">
        <f>IF(A8="","",INDEX('Registro Incidencias'!R$5:R$200,A8))</f>
        <v/>
      </c>
      <c r="K8" s="36" t="str">
        <f>IF(A8="","",INDEX('Registro Incidencias'!AF$5:AF$200,A8))</f>
        <v/>
      </c>
      <c r="L8" s="39" t="str">
        <f>IF(A8="","",INDEX('Registro Incidencias'!AI$5:AI$200,A8))</f>
        <v/>
      </c>
      <c r="M8" s="33" t="str">
        <f>IF(A8="","",INDEX('Registro Incidencias'!AD$5:AD$200,A8))</f>
        <v/>
      </c>
      <c r="N8" s="36" t="str">
        <f>IF(A8="","",INDEX('Registro Incidencias'!AE$5:AE$200,A8))</f>
        <v/>
      </c>
      <c r="O8" s="33" t="str">
        <f>IF(A8="","",INDEX('Registro Incidencias'!AK$5:AK$200,A8))</f>
        <v/>
      </c>
      <c r="P8" s="63" t="str">
        <f>IF(A8="","",INDEX('Registro Incidencias'!AU$5:AU$200,A8))</f>
        <v/>
      </c>
      <c r="Q8" s="32" t="str">
        <f>IF(A8="","",INDEX('Registro Incidencias'!AV$5:AV$200,A8))</f>
        <v/>
      </c>
      <c r="R8" s="32"/>
      <c r="S8" s="32"/>
    </row>
    <row r="9" spans="1:19" ht="15" customHeight="1" x14ac:dyDescent="0.25">
      <c r="A9" s="25" t="str">
        <f>IFERROR(MATCH(1,INDEX(('Registro Incidencias'!AX$5:AX$200="Juan Manuel"&amp;TEXT('📅 Semana'!B$7,"YYYYMMDD"))*('Registro Incidencias'!AY$5:AY$200=5),),0),"")</f>
        <v/>
      </c>
      <c r="B9" s="62" t="str">
        <f>IF(A9="","",INDEX('Registro Incidencias'!U$5:U$200,A9))</f>
        <v/>
      </c>
      <c r="C9" s="22" t="str">
        <f>IF(A9="","",INDEX('Registro Incidencias'!L$5:L$200,A9))</f>
        <v/>
      </c>
      <c r="D9" s="22" t="str">
        <f>IF(A9="","",INDEX('Registro Incidencias'!A$5:A$200,A9))</f>
        <v/>
      </c>
      <c r="E9" s="22" t="str">
        <f>IF(A9="","",INDEX('Registro Incidencias'!D$5:D$200,A9))</f>
        <v/>
      </c>
      <c r="F9" s="25" t="str">
        <f>IF(A9="","",INDEX('Registro Incidencias'!F$5:F$200,A9))</f>
        <v/>
      </c>
      <c r="G9" s="25" t="str">
        <f>IF(A9="","",INDEX('Registro Incidencias'!G$5:G$200,A9))</f>
        <v/>
      </c>
      <c r="H9" s="25" t="str">
        <f>IF(A9="","",INDEX('Registro Incidencias'!H$5:H$200,A9))</f>
        <v/>
      </c>
      <c r="I9" s="25" t="str">
        <f>IF(A9="","",INDEX('Registro Incidencias'!O$5:O$200,A9))</f>
        <v/>
      </c>
      <c r="J9" s="25" t="str">
        <f>IF(A9="","",INDEX('Registro Incidencias'!R$5:R$200,A9))</f>
        <v/>
      </c>
      <c r="K9" s="25" t="str">
        <f>IF(A9="","",INDEX('Registro Incidencias'!AF$5:AF$200,A9))</f>
        <v/>
      </c>
      <c r="L9" s="28" t="str">
        <f>IF(A9="","",INDEX('Registro Incidencias'!AI$5:AI$200,A9))</f>
        <v/>
      </c>
      <c r="M9" s="22" t="str">
        <f>IF(A9="","",INDEX('Registro Incidencias'!AD$5:AD$200,A9))</f>
        <v/>
      </c>
      <c r="N9" s="25" t="str">
        <f>IF(A9="","",INDEX('Registro Incidencias'!AE$5:AE$200,A9))</f>
        <v/>
      </c>
      <c r="O9" s="22" t="str">
        <f>IF(A9="","",INDEX('Registro Incidencias'!AK$5:AK$200,A9))</f>
        <v/>
      </c>
      <c r="P9" s="63" t="str">
        <f>IF(A9="","",INDEX('Registro Incidencias'!AU$5:AU$200,A9))</f>
        <v/>
      </c>
      <c r="Q9" s="32" t="str">
        <f>IF(A9="","",INDEX('Registro Incidencias'!AV$5:AV$200,A9))</f>
        <v/>
      </c>
      <c r="R9" s="32"/>
      <c r="S9" s="32"/>
    </row>
    <row r="10" spans="1:19" ht="15" customHeight="1" x14ac:dyDescent="0.25">
      <c r="A10" s="36" t="str">
        <f>IFERROR(MATCH(1,INDEX(('Registro Incidencias'!AX$5:AX$200="Juan Manuel"&amp;TEXT('📅 Semana'!B$7,"YYYYMMDD"))*('Registro Incidencias'!AY$5:AY$200=6),),0),"")</f>
        <v/>
      </c>
      <c r="B10" s="64" t="str">
        <f>IF(A10="","",INDEX('Registro Incidencias'!U$5:U$200,A10))</f>
        <v/>
      </c>
      <c r="C10" s="33" t="str">
        <f>IF(A10="","",INDEX('Registro Incidencias'!L$5:L$200,A10))</f>
        <v/>
      </c>
      <c r="D10" s="33" t="str">
        <f>IF(A10="","",INDEX('Registro Incidencias'!A$5:A$200,A10))</f>
        <v/>
      </c>
      <c r="E10" s="33" t="str">
        <f>IF(A10="","",INDEX('Registro Incidencias'!D$5:D$200,A10))</f>
        <v/>
      </c>
      <c r="F10" s="36" t="str">
        <f>IF(A10="","",INDEX('Registro Incidencias'!F$5:F$200,A10))</f>
        <v/>
      </c>
      <c r="G10" s="36" t="str">
        <f>IF(A10="","",INDEX('Registro Incidencias'!G$5:G$200,A10))</f>
        <v/>
      </c>
      <c r="H10" s="36" t="str">
        <f>IF(A10="","",INDEX('Registro Incidencias'!H$5:H$200,A10))</f>
        <v/>
      </c>
      <c r="I10" s="36" t="str">
        <f>IF(A10="","",INDEX('Registro Incidencias'!O$5:O$200,A10))</f>
        <v/>
      </c>
      <c r="J10" s="36" t="str">
        <f>IF(A10="","",INDEX('Registro Incidencias'!R$5:R$200,A10))</f>
        <v/>
      </c>
      <c r="K10" s="36" t="str">
        <f>IF(A10="","",INDEX('Registro Incidencias'!AF$5:AF$200,A10))</f>
        <v/>
      </c>
      <c r="L10" s="39" t="str">
        <f>IF(A10="","",INDEX('Registro Incidencias'!AI$5:AI$200,A10))</f>
        <v/>
      </c>
      <c r="M10" s="33" t="str">
        <f>IF(A10="","",INDEX('Registro Incidencias'!AD$5:AD$200,A10))</f>
        <v/>
      </c>
      <c r="N10" s="36" t="str">
        <f>IF(A10="","",INDEX('Registro Incidencias'!AE$5:AE$200,A10))</f>
        <v/>
      </c>
      <c r="O10" s="33" t="str">
        <f>IF(A10="","",INDEX('Registro Incidencias'!AK$5:AK$200,A10))</f>
        <v/>
      </c>
      <c r="P10" s="63" t="str">
        <f>IF(A10="","",INDEX('Registro Incidencias'!AU$5:AU$200,A10))</f>
        <v/>
      </c>
      <c r="Q10" s="32" t="str">
        <f>IF(A10="","",INDEX('Registro Incidencias'!AV$5:AV$200,A10))</f>
        <v/>
      </c>
      <c r="R10" s="32"/>
      <c r="S10" s="32"/>
    </row>
    <row r="11" spans="1:19" ht="21.75" customHeight="1" x14ac:dyDescent="0.25">
      <c r="A11" s="3" t="str">
        <f>COUNTIFS('Registro Incidencias'!S$5:S$200,"Juan Manuel",'Registro Incidencias'!T$5:T$200,'📅 Semana'!B$7)&amp;" averías"</f>
        <v>0 averías</v>
      </c>
      <c r="B11" s="3"/>
      <c r="C11" s="3"/>
      <c r="D11" s="3"/>
      <c r="E11" s="3"/>
      <c r="F11" s="3"/>
      <c r="G11" s="3"/>
      <c r="H11" s="3"/>
      <c r="I11" s="3"/>
      <c r="J11" s="2" t="str">
        <f>"Verificadas: "&amp;COUNTIFS(A5:A10,"&lt;&gt;",P5:P10,"&lt;&gt;")&amp;"/"&amp;COUNTIF(A5:A10,"&lt;&gt;")</f>
        <v>Verificadas: 6/6</v>
      </c>
      <c r="K11" s="2"/>
      <c r="L11" s="2"/>
      <c r="M11" s="2"/>
      <c r="N11" s="2"/>
      <c r="O11" s="2"/>
      <c r="P11" s="2"/>
    </row>
    <row r="13" spans="1:19" ht="30" customHeight="1" x14ac:dyDescent="0.25">
      <c r="A13" s="1" t="str">
        <f>TEXT('📅 Semana'!B$8,"DDDD")&amp;"  —  "&amp;TEXT('📅 Semana'!B$8,"DD/MM/")&amp;"2026"</f>
        <v>martes  —  17/02/2026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0" customHeight="1" x14ac:dyDescent="0.25">
      <c r="A14" s="65" t="s">
        <v>85</v>
      </c>
      <c r="B14" s="65" t="s">
        <v>86</v>
      </c>
      <c r="C14" s="65" t="s">
        <v>18</v>
      </c>
      <c r="D14" s="65" t="s">
        <v>87</v>
      </c>
      <c r="E14" s="65" t="s">
        <v>88</v>
      </c>
      <c r="F14" s="65" t="s">
        <v>89</v>
      </c>
      <c r="G14" s="65" t="s">
        <v>13</v>
      </c>
      <c r="H14" s="65" t="s">
        <v>14</v>
      </c>
      <c r="I14" s="65" t="s">
        <v>90</v>
      </c>
      <c r="J14" s="65" t="s">
        <v>91</v>
      </c>
      <c r="K14" s="65" t="s">
        <v>92</v>
      </c>
      <c r="L14" s="65" t="s">
        <v>93</v>
      </c>
      <c r="M14" s="65" t="s">
        <v>94</v>
      </c>
      <c r="N14" s="65" t="s">
        <v>37</v>
      </c>
      <c r="O14" s="65" t="s">
        <v>43</v>
      </c>
      <c r="P14" s="61" t="s">
        <v>95</v>
      </c>
      <c r="Q14" s="61" t="s">
        <v>96</v>
      </c>
      <c r="R14" s="61" t="s">
        <v>97</v>
      </c>
      <c r="S14" s="61" t="s">
        <v>98</v>
      </c>
    </row>
    <row r="15" spans="1:19" ht="15" customHeight="1" x14ac:dyDescent="0.25">
      <c r="A15" s="25" t="str">
        <f>IFERROR(MATCH(1,INDEX(('Registro Incidencias'!AX$5:AX$200="Juan Manuel"&amp;TEXT('📅 Semana'!B$8,"YYYYMMDD"))*('Registro Incidencias'!AY$5:AY$200=1),),0),"")</f>
        <v/>
      </c>
      <c r="B15" s="62" t="str">
        <f>IF(A15="","",INDEX('Registro Incidencias'!U$5:U$200,A15))</f>
        <v/>
      </c>
      <c r="C15" s="22" t="str">
        <f>IF(A15="","",INDEX('Registro Incidencias'!L$5:L$200,A15))</f>
        <v/>
      </c>
      <c r="D15" s="22" t="str">
        <f>IF(A15="","",INDEX('Registro Incidencias'!A$5:A$200,A15))</f>
        <v/>
      </c>
      <c r="E15" s="22" t="str">
        <f>IF(A15="","",INDEX('Registro Incidencias'!D$5:D$200,A15))</f>
        <v/>
      </c>
      <c r="F15" s="25" t="str">
        <f>IF(A15="","",INDEX('Registro Incidencias'!F$5:F$200,A15))</f>
        <v/>
      </c>
      <c r="G15" s="25" t="str">
        <f>IF(A15="","",INDEX('Registro Incidencias'!G$5:G$200,A15))</f>
        <v/>
      </c>
      <c r="H15" s="25" t="str">
        <f>IF(A15="","",INDEX('Registro Incidencias'!H$5:H$200,A15))</f>
        <v/>
      </c>
      <c r="I15" s="25" t="str">
        <f>IF(A15="","",INDEX('Registro Incidencias'!O$5:O$200,A15))</f>
        <v/>
      </c>
      <c r="J15" s="25" t="str">
        <f>IF(A15="","",INDEX('Registro Incidencias'!R$5:R$200,A15))</f>
        <v/>
      </c>
      <c r="K15" s="25" t="str">
        <f>IF(A15="","",INDEX('Registro Incidencias'!AF$5:AF$200,A15))</f>
        <v/>
      </c>
      <c r="L15" s="28" t="str">
        <f>IF(A15="","",INDEX('Registro Incidencias'!AI$5:AI$200,A15))</f>
        <v/>
      </c>
      <c r="M15" s="22" t="str">
        <f>IF(A15="","",INDEX('Registro Incidencias'!AD$5:AD$200,A15))</f>
        <v/>
      </c>
      <c r="N15" s="25" t="str">
        <f>IF(A15="","",INDEX('Registro Incidencias'!AE$5:AE$200,A15))</f>
        <v/>
      </c>
      <c r="O15" s="22" t="str">
        <f>IF(A15="","",INDEX('Registro Incidencias'!AK$5:AK$200,A15))</f>
        <v/>
      </c>
      <c r="P15" s="63" t="str">
        <f>IF(A15="","",INDEX('Registro Incidencias'!AU$5:AU$200,A15))</f>
        <v/>
      </c>
      <c r="Q15" s="32" t="str">
        <f>IF(A15="","",INDEX('Registro Incidencias'!AV$5:AV$200,A15))</f>
        <v/>
      </c>
      <c r="R15" s="32"/>
      <c r="S15" s="32"/>
    </row>
    <row r="16" spans="1:19" ht="15" customHeight="1" x14ac:dyDescent="0.25">
      <c r="A16" s="36" t="str">
        <f>IFERROR(MATCH(1,INDEX(('Registro Incidencias'!AX$5:AX$200="Juan Manuel"&amp;TEXT('📅 Semana'!B$8,"YYYYMMDD"))*('Registro Incidencias'!AY$5:AY$200=2),),0),"")</f>
        <v/>
      </c>
      <c r="B16" s="64" t="str">
        <f>IF(A16="","",INDEX('Registro Incidencias'!U$5:U$200,A16))</f>
        <v/>
      </c>
      <c r="C16" s="33" t="str">
        <f>IF(A16="","",INDEX('Registro Incidencias'!L$5:L$200,A16))</f>
        <v/>
      </c>
      <c r="D16" s="33" t="str">
        <f>IF(A16="","",INDEX('Registro Incidencias'!A$5:A$200,A16))</f>
        <v/>
      </c>
      <c r="E16" s="33" t="str">
        <f>IF(A16="","",INDEX('Registro Incidencias'!D$5:D$200,A16))</f>
        <v/>
      </c>
      <c r="F16" s="36" t="str">
        <f>IF(A16="","",INDEX('Registro Incidencias'!F$5:F$200,A16))</f>
        <v/>
      </c>
      <c r="G16" s="36" t="str">
        <f>IF(A16="","",INDEX('Registro Incidencias'!G$5:G$200,A16))</f>
        <v/>
      </c>
      <c r="H16" s="36" t="str">
        <f>IF(A16="","",INDEX('Registro Incidencias'!H$5:H$200,A16))</f>
        <v/>
      </c>
      <c r="I16" s="36" t="str">
        <f>IF(A16="","",INDEX('Registro Incidencias'!O$5:O$200,A16))</f>
        <v/>
      </c>
      <c r="J16" s="36" t="str">
        <f>IF(A16="","",INDEX('Registro Incidencias'!R$5:R$200,A16))</f>
        <v/>
      </c>
      <c r="K16" s="36" t="str">
        <f>IF(A16="","",INDEX('Registro Incidencias'!AF$5:AF$200,A16))</f>
        <v/>
      </c>
      <c r="L16" s="39" t="str">
        <f>IF(A16="","",INDEX('Registro Incidencias'!AI$5:AI$200,A16))</f>
        <v/>
      </c>
      <c r="M16" s="33" t="str">
        <f>IF(A16="","",INDEX('Registro Incidencias'!AD$5:AD$200,A16))</f>
        <v/>
      </c>
      <c r="N16" s="36" t="str">
        <f>IF(A16="","",INDEX('Registro Incidencias'!AE$5:AE$200,A16))</f>
        <v/>
      </c>
      <c r="O16" s="33" t="str">
        <f>IF(A16="","",INDEX('Registro Incidencias'!AK$5:AK$200,A16))</f>
        <v/>
      </c>
      <c r="P16" s="63" t="str">
        <f>IF(A16="","",INDEX('Registro Incidencias'!AU$5:AU$200,A16))</f>
        <v/>
      </c>
      <c r="Q16" s="32" t="str">
        <f>IF(A16="","",INDEX('Registro Incidencias'!AV$5:AV$200,A16))</f>
        <v/>
      </c>
      <c r="R16" s="32"/>
      <c r="S16" s="32"/>
    </row>
    <row r="17" spans="1:19" ht="15" customHeight="1" x14ac:dyDescent="0.25">
      <c r="A17" s="25" t="str">
        <f>IFERROR(MATCH(1,INDEX(('Registro Incidencias'!AX$5:AX$200="Juan Manuel"&amp;TEXT('📅 Semana'!B$8,"YYYYMMDD"))*('Registro Incidencias'!AY$5:AY$200=3),),0),"")</f>
        <v/>
      </c>
      <c r="B17" s="62" t="str">
        <f>IF(A17="","",INDEX('Registro Incidencias'!U$5:U$200,A17))</f>
        <v/>
      </c>
      <c r="C17" s="22" t="str">
        <f>IF(A17="","",INDEX('Registro Incidencias'!L$5:L$200,A17))</f>
        <v/>
      </c>
      <c r="D17" s="22" t="str">
        <f>IF(A17="","",INDEX('Registro Incidencias'!A$5:A$200,A17))</f>
        <v/>
      </c>
      <c r="E17" s="22" t="str">
        <f>IF(A17="","",INDEX('Registro Incidencias'!D$5:D$200,A17))</f>
        <v/>
      </c>
      <c r="F17" s="25" t="str">
        <f>IF(A17="","",INDEX('Registro Incidencias'!F$5:F$200,A17))</f>
        <v/>
      </c>
      <c r="G17" s="25" t="str">
        <f>IF(A17="","",INDEX('Registro Incidencias'!G$5:G$200,A17))</f>
        <v/>
      </c>
      <c r="H17" s="25" t="str">
        <f>IF(A17="","",INDEX('Registro Incidencias'!H$5:H$200,A17))</f>
        <v/>
      </c>
      <c r="I17" s="25" t="str">
        <f>IF(A17="","",INDEX('Registro Incidencias'!O$5:O$200,A17))</f>
        <v/>
      </c>
      <c r="J17" s="25" t="str">
        <f>IF(A17="","",INDEX('Registro Incidencias'!R$5:R$200,A17))</f>
        <v/>
      </c>
      <c r="K17" s="25" t="str">
        <f>IF(A17="","",INDEX('Registro Incidencias'!AF$5:AF$200,A17))</f>
        <v/>
      </c>
      <c r="L17" s="28" t="str">
        <f>IF(A17="","",INDEX('Registro Incidencias'!AI$5:AI$200,A17))</f>
        <v/>
      </c>
      <c r="M17" s="22" t="str">
        <f>IF(A17="","",INDEX('Registro Incidencias'!AD$5:AD$200,A17))</f>
        <v/>
      </c>
      <c r="N17" s="25" t="str">
        <f>IF(A17="","",INDEX('Registro Incidencias'!AE$5:AE$200,A17))</f>
        <v/>
      </c>
      <c r="O17" s="22" t="str">
        <f>IF(A17="","",INDEX('Registro Incidencias'!AK$5:AK$200,A17))</f>
        <v/>
      </c>
      <c r="P17" s="63" t="str">
        <f>IF(A17="","",INDEX('Registro Incidencias'!AU$5:AU$200,A17))</f>
        <v/>
      </c>
      <c r="Q17" s="32" t="str">
        <f>IF(A17="","",INDEX('Registro Incidencias'!AV$5:AV$200,A17))</f>
        <v/>
      </c>
      <c r="R17" s="32"/>
      <c r="S17" s="32"/>
    </row>
    <row r="18" spans="1:19" ht="15" customHeight="1" x14ac:dyDescent="0.25">
      <c r="A18" s="36" t="str">
        <f>IFERROR(MATCH(1,INDEX(('Registro Incidencias'!AX$5:AX$200="Juan Manuel"&amp;TEXT('📅 Semana'!B$8,"YYYYMMDD"))*('Registro Incidencias'!AY$5:AY$200=4),),0),"")</f>
        <v/>
      </c>
      <c r="B18" s="64" t="str">
        <f>IF(A18="","",INDEX('Registro Incidencias'!U$5:U$200,A18))</f>
        <v/>
      </c>
      <c r="C18" s="33" t="str">
        <f>IF(A18="","",INDEX('Registro Incidencias'!L$5:L$200,A18))</f>
        <v/>
      </c>
      <c r="D18" s="33" t="str">
        <f>IF(A18="","",INDEX('Registro Incidencias'!A$5:A$200,A18))</f>
        <v/>
      </c>
      <c r="E18" s="33" t="str">
        <f>IF(A18="","",INDEX('Registro Incidencias'!D$5:D$200,A18))</f>
        <v/>
      </c>
      <c r="F18" s="36" t="str">
        <f>IF(A18="","",INDEX('Registro Incidencias'!F$5:F$200,A18))</f>
        <v/>
      </c>
      <c r="G18" s="36" t="str">
        <f>IF(A18="","",INDEX('Registro Incidencias'!G$5:G$200,A18))</f>
        <v/>
      </c>
      <c r="H18" s="36" t="str">
        <f>IF(A18="","",INDEX('Registro Incidencias'!H$5:H$200,A18))</f>
        <v/>
      </c>
      <c r="I18" s="36" t="str">
        <f>IF(A18="","",INDEX('Registro Incidencias'!O$5:O$200,A18))</f>
        <v/>
      </c>
      <c r="J18" s="36" t="str">
        <f>IF(A18="","",INDEX('Registro Incidencias'!R$5:R$200,A18))</f>
        <v/>
      </c>
      <c r="K18" s="36" t="str">
        <f>IF(A18="","",INDEX('Registro Incidencias'!AF$5:AF$200,A18))</f>
        <v/>
      </c>
      <c r="L18" s="39" t="str">
        <f>IF(A18="","",INDEX('Registro Incidencias'!AI$5:AI$200,A18))</f>
        <v/>
      </c>
      <c r="M18" s="33" t="str">
        <f>IF(A18="","",INDEX('Registro Incidencias'!AD$5:AD$200,A18))</f>
        <v/>
      </c>
      <c r="N18" s="36" t="str">
        <f>IF(A18="","",INDEX('Registro Incidencias'!AE$5:AE$200,A18))</f>
        <v/>
      </c>
      <c r="O18" s="33" t="str">
        <f>IF(A18="","",INDEX('Registro Incidencias'!AK$5:AK$200,A18))</f>
        <v/>
      </c>
      <c r="P18" s="63" t="str">
        <f>IF(A18="","",INDEX('Registro Incidencias'!AU$5:AU$200,A18))</f>
        <v/>
      </c>
      <c r="Q18" s="32" t="str">
        <f>IF(A18="","",INDEX('Registro Incidencias'!AV$5:AV$200,A18))</f>
        <v/>
      </c>
      <c r="R18" s="32"/>
      <c r="S18" s="32"/>
    </row>
    <row r="19" spans="1:19" ht="15" customHeight="1" x14ac:dyDescent="0.25">
      <c r="A19" s="25" t="str">
        <f>IFERROR(MATCH(1,INDEX(('Registro Incidencias'!AX$5:AX$200="Juan Manuel"&amp;TEXT('📅 Semana'!B$8,"YYYYMMDD"))*('Registro Incidencias'!AY$5:AY$200=5),),0),"")</f>
        <v/>
      </c>
      <c r="B19" s="62" t="str">
        <f>IF(A19="","",INDEX('Registro Incidencias'!U$5:U$200,A19))</f>
        <v/>
      </c>
      <c r="C19" s="22" t="str">
        <f>IF(A19="","",INDEX('Registro Incidencias'!L$5:L$200,A19))</f>
        <v/>
      </c>
      <c r="D19" s="22" t="str">
        <f>IF(A19="","",INDEX('Registro Incidencias'!A$5:A$200,A19))</f>
        <v/>
      </c>
      <c r="E19" s="22" t="str">
        <f>IF(A19="","",INDEX('Registro Incidencias'!D$5:D$200,A19))</f>
        <v/>
      </c>
      <c r="F19" s="25" t="str">
        <f>IF(A19="","",INDEX('Registro Incidencias'!F$5:F$200,A19))</f>
        <v/>
      </c>
      <c r="G19" s="25" t="str">
        <f>IF(A19="","",INDEX('Registro Incidencias'!G$5:G$200,A19))</f>
        <v/>
      </c>
      <c r="H19" s="25" t="str">
        <f>IF(A19="","",INDEX('Registro Incidencias'!H$5:H$200,A19))</f>
        <v/>
      </c>
      <c r="I19" s="25" t="str">
        <f>IF(A19="","",INDEX('Registro Incidencias'!O$5:O$200,A19))</f>
        <v/>
      </c>
      <c r="J19" s="25" t="str">
        <f>IF(A19="","",INDEX('Registro Incidencias'!R$5:R$200,A19))</f>
        <v/>
      </c>
      <c r="K19" s="25" t="str">
        <f>IF(A19="","",INDEX('Registro Incidencias'!AF$5:AF$200,A19))</f>
        <v/>
      </c>
      <c r="L19" s="28" t="str">
        <f>IF(A19="","",INDEX('Registro Incidencias'!AI$5:AI$200,A19))</f>
        <v/>
      </c>
      <c r="M19" s="22" t="str">
        <f>IF(A19="","",INDEX('Registro Incidencias'!AD$5:AD$200,A19))</f>
        <v/>
      </c>
      <c r="N19" s="25" t="str">
        <f>IF(A19="","",INDEX('Registro Incidencias'!AE$5:AE$200,A19))</f>
        <v/>
      </c>
      <c r="O19" s="22" t="str">
        <f>IF(A19="","",INDEX('Registro Incidencias'!AK$5:AK$200,A19))</f>
        <v/>
      </c>
      <c r="P19" s="63" t="str">
        <f>IF(A19="","",INDEX('Registro Incidencias'!AU$5:AU$200,A19))</f>
        <v/>
      </c>
      <c r="Q19" s="32" t="str">
        <f>IF(A19="","",INDEX('Registro Incidencias'!AV$5:AV$200,A19))</f>
        <v/>
      </c>
      <c r="R19" s="32"/>
      <c r="S19" s="32"/>
    </row>
    <row r="20" spans="1:19" ht="15" customHeight="1" x14ac:dyDescent="0.25">
      <c r="A20" s="36" t="str">
        <f>IFERROR(MATCH(1,INDEX(('Registro Incidencias'!AX$5:AX$200="Juan Manuel"&amp;TEXT('📅 Semana'!B$8,"YYYYMMDD"))*('Registro Incidencias'!AY$5:AY$200=6),),0),"")</f>
        <v/>
      </c>
      <c r="B20" s="64" t="str">
        <f>IF(A20="","",INDEX('Registro Incidencias'!U$5:U$200,A20))</f>
        <v/>
      </c>
      <c r="C20" s="33" t="str">
        <f>IF(A20="","",INDEX('Registro Incidencias'!L$5:L$200,A20))</f>
        <v/>
      </c>
      <c r="D20" s="33" t="str">
        <f>IF(A20="","",INDEX('Registro Incidencias'!A$5:A$200,A20))</f>
        <v/>
      </c>
      <c r="E20" s="33" t="str">
        <f>IF(A20="","",INDEX('Registro Incidencias'!D$5:D$200,A20))</f>
        <v/>
      </c>
      <c r="F20" s="36" t="str">
        <f>IF(A20="","",INDEX('Registro Incidencias'!F$5:F$200,A20))</f>
        <v/>
      </c>
      <c r="G20" s="36" t="str">
        <f>IF(A20="","",INDEX('Registro Incidencias'!G$5:G$200,A20))</f>
        <v/>
      </c>
      <c r="H20" s="36" t="str">
        <f>IF(A20="","",INDEX('Registro Incidencias'!H$5:H$200,A20))</f>
        <v/>
      </c>
      <c r="I20" s="36" t="str">
        <f>IF(A20="","",INDEX('Registro Incidencias'!O$5:O$200,A20))</f>
        <v/>
      </c>
      <c r="J20" s="36" t="str">
        <f>IF(A20="","",INDEX('Registro Incidencias'!R$5:R$200,A20))</f>
        <v/>
      </c>
      <c r="K20" s="36" t="str">
        <f>IF(A20="","",INDEX('Registro Incidencias'!AF$5:AF$200,A20))</f>
        <v/>
      </c>
      <c r="L20" s="39" t="str">
        <f>IF(A20="","",INDEX('Registro Incidencias'!AI$5:AI$200,A20))</f>
        <v/>
      </c>
      <c r="M20" s="33" t="str">
        <f>IF(A20="","",INDEX('Registro Incidencias'!AD$5:AD$200,A20))</f>
        <v/>
      </c>
      <c r="N20" s="36" t="str">
        <f>IF(A20="","",INDEX('Registro Incidencias'!AE$5:AE$200,A20))</f>
        <v/>
      </c>
      <c r="O20" s="33" t="str">
        <f>IF(A20="","",INDEX('Registro Incidencias'!AK$5:AK$200,A20))</f>
        <v/>
      </c>
      <c r="P20" s="63" t="str">
        <f>IF(A20="","",INDEX('Registro Incidencias'!AU$5:AU$200,A20))</f>
        <v/>
      </c>
      <c r="Q20" s="32" t="str">
        <f>IF(A20="","",INDEX('Registro Incidencias'!AV$5:AV$200,A20))</f>
        <v/>
      </c>
      <c r="R20" s="32"/>
      <c r="S20" s="32"/>
    </row>
    <row r="21" spans="1:19" ht="21.75" customHeight="1" x14ac:dyDescent="0.25">
      <c r="A21" s="123" t="str">
        <f>COUNTIFS('Registro Incidencias'!S$5:S$200,"Juan Manuel",'Registro Incidencias'!T$5:T$200,'📅 Semana'!B$8)&amp;" averías"</f>
        <v>0 averías</v>
      </c>
      <c r="B21" s="123"/>
      <c r="C21" s="123"/>
      <c r="D21" s="123"/>
      <c r="E21" s="123"/>
      <c r="F21" s="123"/>
      <c r="G21" s="123"/>
      <c r="H21" s="123"/>
      <c r="I21" s="123"/>
      <c r="J21" s="2" t="str">
        <f>"Verificadas: "&amp;COUNTIFS(A15:A20,"&lt;&gt;",P15:P20,"&lt;&gt;")&amp;"/"&amp;COUNTIF(A15:A20,"&lt;&gt;")</f>
        <v>Verificadas: 6/6</v>
      </c>
      <c r="K21" s="2"/>
      <c r="L21" s="2"/>
      <c r="M21" s="2"/>
      <c r="N21" s="2"/>
      <c r="O21" s="2"/>
      <c r="P21" s="2"/>
    </row>
    <row r="23" spans="1:19" ht="30" customHeight="1" x14ac:dyDescent="0.25">
      <c r="A23" s="124" t="str">
        <f>TEXT('📅 Semana'!B$9,"DDDD")&amp;"  —  "&amp;TEXT('📅 Semana'!B$9,"DD/MM/")&amp;"2026"</f>
        <v>miércoles  —  18/02/2026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</row>
    <row r="24" spans="1:19" ht="30" customHeight="1" x14ac:dyDescent="0.25">
      <c r="A24" s="66" t="s">
        <v>85</v>
      </c>
      <c r="B24" s="66" t="s">
        <v>86</v>
      </c>
      <c r="C24" s="66" t="s">
        <v>18</v>
      </c>
      <c r="D24" s="66" t="s">
        <v>87</v>
      </c>
      <c r="E24" s="66" t="s">
        <v>88</v>
      </c>
      <c r="F24" s="66" t="s">
        <v>89</v>
      </c>
      <c r="G24" s="66" t="s">
        <v>13</v>
      </c>
      <c r="H24" s="66" t="s">
        <v>14</v>
      </c>
      <c r="I24" s="66" t="s">
        <v>90</v>
      </c>
      <c r="J24" s="66" t="s">
        <v>91</v>
      </c>
      <c r="K24" s="66" t="s">
        <v>92</v>
      </c>
      <c r="L24" s="66" t="s">
        <v>93</v>
      </c>
      <c r="M24" s="66" t="s">
        <v>94</v>
      </c>
      <c r="N24" s="66" t="s">
        <v>37</v>
      </c>
      <c r="O24" s="66" t="s">
        <v>43</v>
      </c>
      <c r="P24" s="61" t="s">
        <v>95</v>
      </c>
      <c r="Q24" s="61" t="s">
        <v>96</v>
      </c>
      <c r="R24" s="61" t="s">
        <v>97</v>
      </c>
      <c r="S24" s="61" t="s">
        <v>98</v>
      </c>
    </row>
    <row r="25" spans="1:19" ht="15" customHeight="1" x14ac:dyDescent="0.25">
      <c r="A25" s="25" t="str">
        <f>IFERROR(MATCH(1,INDEX(('Registro Incidencias'!AX$5:AX$200="Juan Manuel"&amp;TEXT('📅 Semana'!B$9,"YYYYMMDD"))*('Registro Incidencias'!AY$5:AY$200=1),),0),"")</f>
        <v/>
      </c>
      <c r="B25" s="62" t="str">
        <f>IF(A25="","",INDEX('Registro Incidencias'!U$5:U$200,A25))</f>
        <v/>
      </c>
      <c r="C25" s="22" t="str">
        <f>IF(A25="","",INDEX('Registro Incidencias'!L$5:L$200,A25))</f>
        <v/>
      </c>
      <c r="D25" s="22" t="str">
        <f>IF(A25="","",INDEX('Registro Incidencias'!A$5:A$200,A25))</f>
        <v/>
      </c>
      <c r="E25" s="22" t="str">
        <f>IF(A25="","",INDEX('Registro Incidencias'!D$5:D$200,A25))</f>
        <v/>
      </c>
      <c r="F25" s="25" t="str">
        <f>IF(A25="","",INDEX('Registro Incidencias'!F$5:F$200,A25))</f>
        <v/>
      </c>
      <c r="G25" s="25" t="str">
        <f>IF(A25="","",INDEX('Registro Incidencias'!G$5:G$200,A25))</f>
        <v/>
      </c>
      <c r="H25" s="25" t="str">
        <f>IF(A25="","",INDEX('Registro Incidencias'!H$5:H$200,A25))</f>
        <v/>
      </c>
      <c r="I25" s="25" t="str">
        <f>IF(A25="","",INDEX('Registro Incidencias'!O$5:O$200,A25))</f>
        <v/>
      </c>
      <c r="J25" s="25" t="str">
        <f>IF(A25="","",INDEX('Registro Incidencias'!R$5:R$200,A25))</f>
        <v/>
      </c>
      <c r="K25" s="25" t="str">
        <f>IF(A25="","",INDEX('Registro Incidencias'!AF$5:AF$200,A25))</f>
        <v/>
      </c>
      <c r="L25" s="28" t="str">
        <f>IF(A25="","",INDEX('Registro Incidencias'!AI$5:AI$200,A25))</f>
        <v/>
      </c>
      <c r="M25" s="22" t="str">
        <f>IF(A25="","",INDEX('Registro Incidencias'!AD$5:AD$200,A25))</f>
        <v/>
      </c>
      <c r="N25" s="25" t="str">
        <f>IF(A25="","",INDEX('Registro Incidencias'!AE$5:AE$200,A25))</f>
        <v/>
      </c>
      <c r="O25" s="22" t="str">
        <f>IF(A25="","",INDEX('Registro Incidencias'!AK$5:AK$200,A25))</f>
        <v/>
      </c>
      <c r="P25" s="63" t="str">
        <f>IF(A25="","",INDEX('Registro Incidencias'!AU$5:AU$200,A25))</f>
        <v/>
      </c>
      <c r="Q25" s="32" t="str">
        <f>IF(A25="","",INDEX('Registro Incidencias'!AV$5:AV$200,A25))</f>
        <v/>
      </c>
      <c r="R25" s="32"/>
      <c r="S25" s="32"/>
    </row>
    <row r="26" spans="1:19" ht="15" customHeight="1" x14ac:dyDescent="0.25">
      <c r="A26" s="36" t="str">
        <f>IFERROR(MATCH(1,INDEX(('Registro Incidencias'!AX$5:AX$200="Juan Manuel"&amp;TEXT('📅 Semana'!B$9,"YYYYMMDD"))*('Registro Incidencias'!AY$5:AY$200=2),),0),"")</f>
        <v/>
      </c>
      <c r="B26" s="64" t="str">
        <f>IF(A26="","",INDEX('Registro Incidencias'!U$5:U$200,A26))</f>
        <v/>
      </c>
      <c r="C26" s="33" t="str">
        <f>IF(A26="","",INDEX('Registro Incidencias'!L$5:L$200,A26))</f>
        <v/>
      </c>
      <c r="D26" s="33" t="str">
        <f>IF(A26="","",INDEX('Registro Incidencias'!A$5:A$200,A26))</f>
        <v/>
      </c>
      <c r="E26" s="33" t="str">
        <f>IF(A26="","",INDEX('Registro Incidencias'!D$5:D$200,A26))</f>
        <v/>
      </c>
      <c r="F26" s="36" t="str">
        <f>IF(A26="","",INDEX('Registro Incidencias'!F$5:F$200,A26))</f>
        <v/>
      </c>
      <c r="G26" s="36" t="str">
        <f>IF(A26="","",INDEX('Registro Incidencias'!G$5:G$200,A26))</f>
        <v/>
      </c>
      <c r="H26" s="36" t="str">
        <f>IF(A26="","",INDEX('Registro Incidencias'!H$5:H$200,A26))</f>
        <v/>
      </c>
      <c r="I26" s="36" t="str">
        <f>IF(A26="","",INDEX('Registro Incidencias'!O$5:O$200,A26))</f>
        <v/>
      </c>
      <c r="J26" s="36" t="str">
        <f>IF(A26="","",INDEX('Registro Incidencias'!R$5:R$200,A26))</f>
        <v/>
      </c>
      <c r="K26" s="36" t="str">
        <f>IF(A26="","",INDEX('Registro Incidencias'!AF$5:AF$200,A26))</f>
        <v/>
      </c>
      <c r="L26" s="39" t="str">
        <f>IF(A26="","",INDEX('Registro Incidencias'!AI$5:AI$200,A26))</f>
        <v/>
      </c>
      <c r="M26" s="33" t="str">
        <f>IF(A26="","",INDEX('Registro Incidencias'!AD$5:AD$200,A26))</f>
        <v/>
      </c>
      <c r="N26" s="36" t="str">
        <f>IF(A26="","",INDEX('Registro Incidencias'!AE$5:AE$200,A26))</f>
        <v/>
      </c>
      <c r="O26" s="33" t="str">
        <f>IF(A26="","",INDEX('Registro Incidencias'!AK$5:AK$200,A26))</f>
        <v/>
      </c>
      <c r="P26" s="63" t="str">
        <f>IF(A26="","",INDEX('Registro Incidencias'!AU$5:AU$200,A26))</f>
        <v/>
      </c>
      <c r="Q26" s="32" t="str">
        <f>IF(A26="","",INDEX('Registro Incidencias'!AV$5:AV$200,A26))</f>
        <v/>
      </c>
      <c r="R26" s="32"/>
      <c r="S26" s="32"/>
    </row>
    <row r="27" spans="1:19" ht="15" customHeight="1" x14ac:dyDescent="0.25">
      <c r="A27" s="25" t="str">
        <f>IFERROR(MATCH(1,INDEX(('Registro Incidencias'!AX$5:AX$200="Juan Manuel"&amp;TEXT('📅 Semana'!B$9,"YYYYMMDD"))*('Registro Incidencias'!AY$5:AY$200=3),),0),"")</f>
        <v/>
      </c>
      <c r="B27" s="62" t="str">
        <f>IF(A27="","",INDEX('Registro Incidencias'!U$5:U$200,A27))</f>
        <v/>
      </c>
      <c r="C27" s="22" t="str">
        <f>IF(A27="","",INDEX('Registro Incidencias'!L$5:L$200,A27))</f>
        <v/>
      </c>
      <c r="D27" s="22" t="str">
        <f>IF(A27="","",INDEX('Registro Incidencias'!A$5:A$200,A27))</f>
        <v/>
      </c>
      <c r="E27" s="22" t="str">
        <f>IF(A27="","",INDEX('Registro Incidencias'!D$5:D$200,A27))</f>
        <v/>
      </c>
      <c r="F27" s="25" t="str">
        <f>IF(A27="","",INDEX('Registro Incidencias'!F$5:F$200,A27))</f>
        <v/>
      </c>
      <c r="G27" s="25" t="str">
        <f>IF(A27="","",INDEX('Registro Incidencias'!G$5:G$200,A27))</f>
        <v/>
      </c>
      <c r="H27" s="25" t="str">
        <f>IF(A27="","",INDEX('Registro Incidencias'!H$5:H$200,A27))</f>
        <v/>
      </c>
      <c r="I27" s="25" t="str">
        <f>IF(A27="","",INDEX('Registro Incidencias'!O$5:O$200,A27))</f>
        <v/>
      </c>
      <c r="J27" s="25" t="str">
        <f>IF(A27="","",INDEX('Registro Incidencias'!R$5:R$200,A27))</f>
        <v/>
      </c>
      <c r="K27" s="25" t="str">
        <f>IF(A27="","",INDEX('Registro Incidencias'!AF$5:AF$200,A27))</f>
        <v/>
      </c>
      <c r="L27" s="28" t="str">
        <f>IF(A27="","",INDEX('Registro Incidencias'!AI$5:AI$200,A27))</f>
        <v/>
      </c>
      <c r="M27" s="22" t="str">
        <f>IF(A27="","",INDEX('Registro Incidencias'!AD$5:AD$200,A27))</f>
        <v/>
      </c>
      <c r="N27" s="25" t="str">
        <f>IF(A27="","",INDEX('Registro Incidencias'!AE$5:AE$200,A27))</f>
        <v/>
      </c>
      <c r="O27" s="22" t="str">
        <f>IF(A27="","",INDEX('Registro Incidencias'!AK$5:AK$200,A27))</f>
        <v/>
      </c>
      <c r="P27" s="63" t="str">
        <f>IF(A27="","",INDEX('Registro Incidencias'!AU$5:AU$200,A27))</f>
        <v/>
      </c>
      <c r="Q27" s="32" t="str">
        <f>IF(A27="","",INDEX('Registro Incidencias'!AV$5:AV$200,A27))</f>
        <v/>
      </c>
      <c r="R27" s="32"/>
      <c r="S27" s="32"/>
    </row>
    <row r="28" spans="1:19" ht="15" customHeight="1" x14ac:dyDescent="0.25">
      <c r="A28" s="36" t="str">
        <f>IFERROR(MATCH(1,INDEX(('Registro Incidencias'!AX$5:AX$200="Juan Manuel"&amp;TEXT('📅 Semana'!B$9,"YYYYMMDD"))*('Registro Incidencias'!AY$5:AY$200=4),),0),"")</f>
        <v/>
      </c>
      <c r="B28" s="64" t="str">
        <f>IF(A28="","",INDEX('Registro Incidencias'!U$5:U$200,A28))</f>
        <v/>
      </c>
      <c r="C28" s="33" t="str">
        <f>IF(A28="","",INDEX('Registro Incidencias'!L$5:L$200,A28))</f>
        <v/>
      </c>
      <c r="D28" s="33" t="str">
        <f>IF(A28="","",INDEX('Registro Incidencias'!A$5:A$200,A28))</f>
        <v/>
      </c>
      <c r="E28" s="33" t="str">
        <f>IF(A28="","",INDEX('Registro Incidencias'!D$5:D$200,A28))</f>
        <v/>
      </c>
      <c r="F28" s="36" t="str">
        <f>IF(A28="","",INDEX('Registro Incidencias'!F$5:F$200,A28))</f>
        <v/>
      </c>
      <c r="G28" s="36" t="str">
        <f>IF(A28="","",INDEX('Registro Incidencias'!G$5:G$200,A28))</f>
        <v/>
      </c>
      <c r="H28" s="36" t="str">
        <f>IF(A28="","",INDEX('Registro Incidencias'!H$5:H$200,A28))</f>
        <v/>
      </c>
      <c r="I28" s="36" t="str">
        <f>IF(A28="","",INDEX('Registro Incidencias'!O$5:O$200,A28))</f>
        <v/>
      </c>
      <c r="J28" s="36" t="str">
        <f>IF(A28="","",INDEX('Registro Incidencias'!R$5:R$200,A28))</f>
        <v/>
      </c>
      <c r="K28" s="36" t="str">
        <f>IF(A28="","",INDEX('Registro Incidencias'!AF$5:AF$200,A28))</f>
        <v/>
      </c>
      <c r="L28" s="39" t="str">
        <f>IF(A28="","",INDEX('Registro Incidencias'!AI$5:AI$200,A28))</f>
        <v/>
      </c>
      <c r="M28" s="33" t="str">
        <f>IF(A28="","",INDEX('Registro Incidencias'!AD$5:AD$200,A28))</f>
        <v/>
      </c>
      <c r="N28" s="36" t="str">
        <f>IF(A28="","",INDEX('Registro Incidencias'!AE$5:AE$200,A28))</f>
        <v/>
      </c>
      <c r="O28" s="33" t="str">
        <f>IF(A28="","",INDEX('Registro Incidencias'!AK$5:AK$200,A28))</f>
        <v/>
      </c>
      <c r="P28" s="63" t="str">
        <f>IF(A28="","",INDEX('Registro Incidencias'!AU$5:AU$200,A28))</f>
        <v/>
      </c>
      <c r="Q28" s="32" t="str">
        <f>IF(A28="","",INDEX('Registro Incidencias'!AV$5:AV$200,A28))</f>
        <v/>
      </c>
      <c r="R28" s="32"/>
      <c r="S28" s="32"/>
    </row>
    <row r="29" spans="1:19" ht="15" customHeight="1" x14ac:dyDescent="0.25">
      <c r="A29" s="25" t="str">
        <f>IFERROR(MATCH(1,INDEX(('Registro Incidencias'!AX$5:AX$200="Juan Manuel"&amp;TEXT('📅 Semana'!B$9,"YYYYMMDD"))*('Registro Incidencias'!AY$5:AY$200=5),),0),"")</f>
        <v/>
      </c>
      <c r="B29" s="62" t="str">
        <f>IF(A29="","",INDEX('Registro Incidencias'!U$5:U$200,A29))</f>
        <v/>
      </c>
      <c r="C29" s="22" t="str">
        <f>IF(A29="","",INDEX('Registro Incidencias'!L$5:L$200,A29))</f>
        <v/>
      </c>
      <c r="D29" s="22" t="str">
        <f>IF(A29="","",INDEX('Registro Incidencias'!A$5:A$200,A29))</f>
        <v/>
      </c>
      <c r="E29" s="22" t="str">
        <f>IF(A29="","",INDEX('Registro Incidencias'!D$5:D$200,A29))</f>
        <v/>
      </c>
      <c r="F29" s="25" t="str">
        <f>IF(A29="","",INDEX('Registro Incidencias'!F$5:F$200,A29))</f>
        <v/>
      </c>
      <c r="G29" s="25" t="str">
        <f>IF(A29="","",INDEX('Registro Incidencias'!G$5:G$200,A29))</f>
        <v/>
      </c>
      <c r="H29" s="25" t="str">
        <f>IF(A29="","",INDEX('Registro Incidencias'!H$5:H$200,A29))</f>
        <v/>
      </c>
      <c r="I29" s="25" t="str">
        <f>IF(A29="","",INDEX('Registro Incidencias'!O$5:O$200,A29))</f>
        <v/>
      </c>
      <c r="J29" s="25" t="str">
        <f>IF(A29="","",INDEX('Registro Incidencias'!R$5:R$200,A29))</f>
        <v/>
      </c>
      <c r="K29" s="25" t="str">
        <f>IF(A29="","",INDEX('Registro Incidencias'!AF$5:AF$200,A29))</f>
        <v/>
      </c>
      <c r="L29" s="28" t="str">
        <f>IF(A29="","",INDEX('Registro Incidencias'!AI$5:AI$200,A29))</f>
        <v/>
      </c>
      <c r="M29" s="22" t="str">
        <f>IF(A29="","",INDEX('Registro Incidencias'!AD$5:AD$200,A29))</f>
        <v/>
      </c>
      <c r="N29" s="25" t="str">
        <f>IF(A29="","",INDEX('Registro Incidencias'!AE$5:AE$200,A29))</f>
        <v/>
      </c>
      <c r="O29" s="22" t="str">
        <f>IF(A29="","",INDEX('Registro Incidencias'!AK$5:AK$200,A29))</f>
        <v/>
      </c>
      <c r="P29" s="63" t="str">
        <f>IF(A29="","",INDEX('Registro Incidencias'!AU$5:AU$200,A29))</f>
        <v/>
      </c>
      <c r="Q29" s="32" t="str">
        <f>IF(A29="","",INDEX('Registro Incidencias'!AV$5:AV$200,A29))</f>
        <v/>
      </c>
      <c r="R29" s="32"/>
      <c r="S29" s="32"/>
    </row>
    <row r="30" spans="1:19" ht="15" customHeight="1" x14ac:dyDescent="0.25">
      <c r="A30" s="36" t="str">
        <f>IFERROR(MATCH(1,INDEX(('Registro Incidencias'!AX$5:AX$200="Juan Manuel"&amp;TEXT('📅 Semana'!B$9,"YYYYMMDD"))*('Registro Incidencias'!AY$5:AY$200=6),),0),"")</f>
        <v/>
      </c>
      <c r="B30" s="64" t="str">
        <f>IF(A30="","",INDEX('Registro Incidencias'!U$5:U$200,A30))</f>
        <v/>
      </c>
      <c r="C30" s="33" t="str">
        <f>IF(A30="","",INDEX('Registro Incidencias'!L$5:L$200,A30))</f>
        <v/>
      </c>
      <c r="D30" s="33" t="str">
        <f>IF(A30="","",INDEX('Registro Incidencias'!A$5:A$200,A30))</f>
        <v/>
      </c>
      <c r="E30" s="33" t="str">
        <f>IF(A30="","",INDEX('Registro Incidencias'!D$5:D$200,A30))</f>
        <v/>
      </c>
      <c r="F30" s="36" t="str">
        <f>IF(A30="","",INDEX('Registro Incidencias'!F$5:F$200,A30))</f>
        <v/>
      </c>
      <c r="G30" s="36" t="str">
        <f>IF(A30="","",INDEX('Registro Incidencias'!G$5:G$200,A30))</f>
        <v/>
      </c>
      <c r="H30" s="36" t="str">
        <f>IF(A30="","",INDEX('Registro Incidencias'!H$5:H$200,A30))</f>
        <v/>
      </c>
      <c r="I30" s="36" t="str">
        <f>IF(A30="","",INDEX('Registro Incidencias'!O$5:O$200,A30))</f>
        <v/>
      </c>
      <c r="J30" s="36" t="str">
        <f>IF(A30="","",INDEX('Registro Incidencias'!R$5:R$200,A30))</f>
        <v/>
      </c>
      <c r="K30" s="36" t="str">
        <f>IF(A30="","",INDEX('Registro Incidencias'!AF$5:AF$200,A30))</f>
        <v/>
      </c>
      <c r="L30" s="39" t="str">
        <f>IF(A30="","",INDEX('Registro Incidencias'!AI$5:AI$200,A30))</f>
        <v/>
      </c>
      <c r="M30" s="33" t="str">
        <f>IF(A30="","",INDEX('Registro Incidencias'!AD$5:AD$200,A30))</f>
        <v/>
      </c>
      <c r="N30" s="36" t="str">
        <f>IF(A30="","",INDEX('Registro Incidencias'!AE$5:AE$200,A30))</f>
        <v/>
      </c>
      <c r="O30" s="33" t="str">
        <f>IF(A30="","",INDEX('Registro Incidencias'!AK$5:AK$200,A30))</f>
        <v/>
      </c>
      <c r="P30" s="63" t="str">
        <f>IF(A30="","",INDEX('Registro Incidencias'!AU$5:AU$200,A30))</f>
        <v/>
      </c>
      <c r="Q30" s="32" t="str">
        <f>IF(A30="","",INDEX('Registro Incidencias'!AV$5:AV$200,A30))</f>
        <v/>
      </c>
      <c r="R30" s="32"/>
      <c r="S30" s="32"/>
    </row>
    <row r="31" spans="1:19" ht="21.75" customHeight="1" x14ac:dyDescent="0.25">
      <c r="A31" s="125" t="str">
        <f>COUNTIFS('Registro Incidencias'!S$5:S$200,"Juan Manuel",'Registro Incidencias'!T$5:T$200,'📅 Semana'!B$9)&amp;" averías"</f>
        <v>0 averías</v>
      </c>
      <c r="B31" s="125"/>
      <c r="C31" s="125"/>
      <c r="D31" s="125"/>
      <c r="E31" s="125"/>
      <c r="F31" s="125"/>
      <c r="G31" s="125"/>
      <c r="H31" s="125"/>
      <c r="I31" s="125"/>
      <c r="J31" s="2" t="str">
        <f>"Verificadas: "&amp;COUNTIFS(A25:A30,"&lt;&gt;",P25:P30,"&lt;&gt;")&amp;"/"&amp;COUNTIF(A25:A30,"&lt;&gt;")</f>
        <v>Verificadas: 6/6</v>
      </c>
      <c r="K31" s="2"/>
      <c r="L31" s="2"/>
      <c r="M31" s="2"/>
      <c r="N31" s="2"/>
      <c r="O31" s="2"/>
      <c r="P31" s="2"/>
    </row>
    <row r="33" spans="1:19" ht="30" customHeight="1" x14ac:dyDescent="0.25">
      <c r="A33" s="126" t="str">
        <f>TEXT('📅 Semana'!B$10,"DDDD")&amp;"  —  "&amp;TEXT('📅 Semana'!B$10,"DD/MM/")&amp;"2026"</f>
        <v>jueves  —  19/02/2026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</row>
    <row r="34" spans="1:19" ht="30" customHeight="1" x14ac:dyDescent="0.25">
      <c r="A34" s="67" t="s">
        <v>85</v>
      </c>
      <c r="B34" s="67" t="s">
        <v>86</v>
      </c>
      <c r="C34" s="67" t="s">
        <v>18</v>
      </c>
      <c r="D34" s="67" t="s">
        <v>87</v>
      </c>
      <c r="E34" s="67" t="s">
        <v>88</v>
      </c>
      <c r="F34" s="67" t="s">
        <v>89</v>
      </c>
      <c r="G34" s="67" t="s">
        <v>13</v>
      </c>
      <c r="H34" s="67" t="s">
        <v>14</v>
      </c>
      <c r="I34" s="67" t="s">
        <v>90</v>
      </c>
      <c r="J34" s="67" t="s">
        <v>91</v>
      </c>
      <c r="K34" s="67" t="s">
        <v>92</v>
      </c>
      <c r="L34" s="67" t="s">
        <v>93</v>
      </c>
      <c r="M34" s="67" t="s">
        <v>94</v>
      </c>
      <c r="N34" s="67" t="s">
        <v>37</v>
      </c>
      <c r="O34" s="67" t="s">
        <v>43</v>
      </c>
      <c r="P34" s="61" t="s">
        <v>95</v>
      </c>
      <c r="Q34" s="61" t="s">
        <v>96</v>
      </c>
      <c r="R34" s="61" t="s">
        <v>97</v>
      </c>
      <c r="S34" s="61" t="s">
        <v>98</v>
      </c>
    </row>
    <row r="35" spans="1:19" ht="15" customHeight="1" x14ac:dyDescent="0.25">
      <c r="A35" s="25" t="str">
        <f>IFERROR(MATCH(1,INDEX(('Registro Incidencias'!AX$5:AX$200="Juan Manuel"&amp;TEXT('📅 Semana'!B$10,"YYYYMMDD"))*('Registro Incidencias'!AY$5:AY$200=1),),0),"")</f>
        <v/>
      </c>
      <c r="B35" s="62" t="str">
        <f>IF(A35="","",INDEX('Registro Incidencias'!U$5:U$200,A35))</f>
        <v/>
      </c>
      <c r="C35" s="22" t="str">
        <f>IF(A35="","",INDEX('Registro Incidencias'!L$5:L$200,A35))</f>
        <v/>
      </c>
      <c r="D35" s="22" t="str">
        <f>IF(A35="","",INDEX('Registro Incidencias'!A$5:A$200,A35))</f>
        <v/>
      </c>
      <c r="E35" s="22" t="str">
        <f>IF(A35="","",INDEX('Registro Incidencias'!D$5:D$200,A35))</f>
        <v/>
      </c>
      <c r="F35" s="25" t="str">
        <f>IF(A35="","",INDEX('Registro Incidencias'!F$5:F$200,A35))</f>
        <v/>
      </c>
      <c r="G35" s="25" t="str">
        <f>IF(A35="","",INDEX('Registro Incidencias'!G$5:G$200,A35))</f>
        <v/>
      </c>
      <c r="H35" s="25" t="str">
        <f>IF(A35="","",INDEX('Registro Incidencias'!H$5:H$200,A35))</f>
        <v/>
      </c>
      <c r="I35" s="25" t="str">
        <f>IF(A35="","",INDEX('Registro Incidencias'!O$5:O$200,A35))</f>
        <v/>
      </c>
      <c r="J35" s="25" t="str">
        <f>IF(A35="","",INDEX('Registro Incidencias'!R$5:R$200,A35))</f>
        <v/>
      </c>
      <c r="K35" s="25" t="str">
        <f>IF(A35="","",INDEX('Registro Incidencias'!AF$5:AF$200,A35))</f>
        <v/>
      </c>
      <c r="L35" s="28" t="str">
        <f>IF(A35="","",INDEX('Registro Incidencias'!AI$5:AI$200,A35))</f>
        <v/>
      </c>
      <c r="M35" s="22" t="str">
        <f>IF(A35="","",INDEX('Registro Incidencias'!AD$5:AD$200,A35))</f>
        <v/>
      </c>
      <c r="N35" s="25" t="str">
        <f>IF(A35="","",INDEX('Registro Incidencias'!AE$5:AE$200,A35))</f>
        <v/>
      </c>
      <c r="O35" s="22" t="str">
        <f>IF(A35="","",INDEX('Registro Incidencias'!AK$5:AK$200,A35))</f>
        <v/>
      </c>
      <c r="P35" s="63" t="str">
        <f>IF(A35="","",INDEX('Registro Incidencias'!AU$5:AU$200,A35))</f>
        <v/>
      </c>
      <c r="Q35" s="32" t="str">
        <f>IF(A35="","",INDEX('Registro Incidencias'!AV$5:AV$200,A35))</f>
        <v/>
      </c>
      <c r="R35" s="32"/>
      <c r="S35" s="32"/>
    </row>
    <row r="36" spans="1:19" ht="15" customHeight="1" x14ac:dyDescent="0.25">
      <c r="A36" s="36" t="str">
        <f>IFERROR(MATCH(1,INDEX(('Registro Incidencias'!AX$5:AX$200="Juan Manuel"&amp;TEXT('📅 Semana'!B$10,"YYYYMMDD"))*('Registro Incidencias'!AY$5:AY$200=2),),0),"")</f>
        <v/>
      </c>
      <c r="B36" s="64" t="str">
        <f>IF(A36="","",INDEX('Registro Incidencias'!U$5:U$200,A36))</f>
        <v/>
      </c>
      <c r="C36" s="33" t="str">
        <f>IF(A36="","",INDEX('Registro Incidencias'!L$5:L$200,A36))</f>
        <v/>
      </c>
      <c r="D36" s="33" t="str">
        <f>IF(A36="","",INDEX('Registro Incidencias'!A$5:A$200,A36))</f>
        <v/>
      </c>
      <c r="E36" s="33" t="str">
        <f>IF(A36="","",INDEX('Registro Incidencias'!D$5:D$200,A36))</f>
        <v/>
      </c>
      <c r="F36" s="36" t="str">
        <f>IF(A36="","",INDEX('Registro Incidencias'!F$5:F$200,A36))</f>
        <v/>
      </c>
      <c r="G36" s="36" t="str">
        <f>IF(A36="","",INDEX('Registro Incidencias'!G$5:G$200,A36))</f>
        <v/>
      </c>
      <c r="H36" s="36" t="str">
        <f>IF(A36="","",INDEX('Registro Incidencias'!H$5:H$200,A36))</f>
        <v/>
      </c>
      <c r="I36" s="36" t="str">
        <f>IF(A36="","",INDEX('Registro Incidencias'!O$5:O$200,A36))</f>
        <v/>
      </c>
      <c r="J36" s="36" t="str">
        <f>IF(A36="","",INDEX('Registro Incidencias'!R$5:R$200,A36))</f>
        <v/>
      </c>
      <c r="K36" s="36" t="str">
        <f>IF(A36="","",INDEX('Registro Incidencias'!AF$5:AF$200,A36))</f>
        <v/>
      </c>
      <c r="L36" s="39" t="str">
        <f>IF(A36="","",INDEX('Registro Incidencias'!AI$5:AI$200,A36))</f>
        <v/>
      </c>
      <c r="M36" s="33" t="str">
        <f>IF(A36="","",INDEX('Registro Incidencias'!AD$5:AD$200,A36))</f>
        <v/>
      </c>
      <c r="N36" s="36" t="str">
        <f>IF(A36="","",INDEX('Registro Incidencias'!AE$5:AE$200,A36))</f>
        <v/>
      </c>
      <c r="O36" s="33" t="str">
        <f>IF(A36="","",INDEX('Registro Incidencias'!AK$5:AK$200,A36))</f>
        <v/>
      </c>
      <c r="P36" s="63" t="str">
        <f>IF(A36="","",INDEX('Registro Incidencias'!AU$5:AU$200,A36))</f>
        <v/>
      </c>
      <c r="Q36" s="32" t="str">
        <f>IF(A36="","",INDEX('Registro Incidencias'!AV$5:AV$200,A36))</f>
        <v/>
      </c>
      <c r="R36" s="32"/>
      <c r="S36" s="32"/>
    </row>
    <row r="37" spans="1:19" ht="15" customHeight="1" x14ac:dyDescent="0.25">
      <c r="A37" s="25" t="str">
        <f>IFERROR(MATCH(1,INDEX(('Registro Incidencias'!AX$5:AX$200="Juan Manuel"&amp;TEXT('📅 Semana'!B$10,"YYYYMMDD"))*('Registro Incidencias'!AY$5:AY$200=3),),0),"")</f>
        <v/>
      </c>
      <c r="B37" s="62" t="str">
        <f>IF(A37="","",INDEX('Registro Incidencias'!U$5:U$200,A37))</f>
        <v/>
      </c>
      <c r="C37" s="22" t="str">
        <f>IF(A37="","",INDEX('Registro Incidencias'!L$5:L$200,A37))</f>
        <v/>
      </c>
      <c r="D37" s="22" t="str">
        <f>IF(A37="","",INDEX('Registro Incidencias'!A$5:A$200,A37))</f>
        <v/>
      </c>
      <c r="E37" s="22" t="str">
        <f>IF(A37="","",INDEX('Registro Incidencias'!D$5:D$200,A37))</f>
        <v/>
      </c>
      <c r="F37" s="25" t="str">
        <f>IF(A37="","",INDEX('Registro Incidencias'!F$5:F$200,A37))</f>
        <v/>
      </c>
      <c r="G37" s="25" t="str">
        <f>IF(A37="","",INDEX('Registro Incidencias'!G$5:G$200,A37))</f>
        <v/>
      </c>
      <c r="H37" s="25" t="str">
        <f>IF(A37="","",INDEX('Registro Incidencias'!H$5:H$200,A37))</f>
        <v/>
      </c>
      <c r="I37" s="25" t="str">
        <f>IF(A37="","",INDEX('Registro Incidencias'!O$5:O$200,A37))</f>
        <v/>
      </c>
      <c r="J37" s="25" t="str">
        <f>IF(A37="","",INDEX('Registro Incidencias'!R$5:R$200,A37))</f>
        <v/>
      </c>
      <c r="K37" s="25" t="str">
        <f>IF(A37="","",INDEX('Registro Incidencias'!AF$5:AF$200,A37))</f>
        <v/>
      </c>
      <c r="L37" s="28" t="str">
        <f>IF(A37="","",INDEX('Registro Incidencias'!AI$5:AI$200,A37))</f>
        <v/>
      </c>
      <c r="M37" s="22" t="str">
        <f>IF(A37="","",INDEX('Registro Incidencias'!AD$5:AD$200,A37))</f>
        <v/>
      </c>
      <c r="N37" s="25" t="str">
        <f>IF(A37="","",INDEX('Registro Incidencias'!AE$5:AE$200,A37))</f>
        <v/>
      </c>
      <c r="O37" s="22" t="str">
        <f>IF(A37="","",INDEX('Registro Incidencias'!AK$5:AK$200,A37))</f>
        <v/>
      </c>
      <c r="P37" s="63" t="str">
        <f>IF(A37="","",INDEX('Registro Incidencias'!AU$5:AU$200,A37))</f>
        <v/>
      </c>
      <c r="Q37" s="32" t="str">
        <f>IF(A37="","",INDEX('Registro Incidencias'!AV$5:AV$200,A37))</f>
        <v/>
      </c>
      <c r="R37" s="32"/>
      <c r="S37" s="32"/>
    </row>
    <row r="38" spans="1:19" ht="15" customHeight="1" x14ac:dyDescent="0.25">
      <c r="A38" s="36" t="str">
        <f>IFERROR(MATCH(1,INDEX(('Registro Incidencias'!AX$5:AX$200="Juan Manuel"&amp;TEXT('📅 Semana'!B$10,"YYYYMMDD"))*('Registro Incidencias'!AY$5:AY$200=4),),0),"")</f>
        <v/>
      </c>
      <c r="B38" s="64" t="str">
        <f>IF(A38="","",INDEX('Registro Incidencias'!U$5:U$200,A38))</f>
        <v/>
      </c>
      <c r="C38" s="33" t="str">
        <f>IF(A38="","",INDEX('Registro Incidencias'!L$5:L$200,A38))</f>
        <v/>
      </c>
      <c r="D38" s="33" t="str">
        <f>IF(A38="","",INDEX('Registro Incidencias'!A$5:A$200,A38))</f>
        <v/>
      </c>
      <c r="E38" s="33" t="str">
        <f>IF(A38="","",INDEX('Registro Incidencias'!D$5:D$200,A38))</f>
        <v/>
      </c>
      <c r="F38" s="36" t="str">
        <f>IF(A38="","",INDEX('Registro Incidencias'!F$5:F$200,A38))</f>
        <v/>
      </c>
      <c r="G38" s="36" t="str">
        <f>IF(A38="","",INDEX('Registro Incidencias'!G$5:G$200,A38))</f>
        <v/>
      </c>
      <c r="H38" s="36" t="str">
        <f>IF(A38="","",INDEX('Registro Incidencias'!H$5:H$200,A38))</f>
        <v/>
      </c>
      <c r="I38" s="36" t="str">
        <f>IF(A38="","",INDEX('Registro Incidencias'!O$5:O$200,A38))</f>
        <v/>
      </c>
      <c r="J38" s="36" t="str">
        <f>IF(A38="","",INDEX('Registro Incidencias'!R$5:R$200,A38))</f>
        <v/>
      </c>
      <c r="K38" s="36" t="str">
        <f>IF(A38="","",INDEX('Registro Incidencias'!AF$5:AF$200,A38))</f>
        <v/>
      </c>
      <c r="L38" s="39" t="str">
        <f>IF(A38="","",INDEX('Registro Incidencias'!AI$5:AI$200,A38))</f>
        <v/>
      </c>
      <c r="M38" s="33" t="str">
        <f>IF(A38="","",INDEX('Registro Incidencias'!AD$5:AD$200,A38))</f>
        <v/>
      </c>
      <c r="N38" s="36" t="str">
        <f>IF(A38="","",INDEX('Registro Incidencias'!AE$5:AE$200,A38))</f>
        <v/>
      </c>
      <c r="O38" s="33" t="str">
        <f>IF(A38="","",INDEX('Registro Incidencias'!AK$5:AK$200,A38))</f>
        <v/>
      </c>
      <c r="P38" s="63" t="str">
        <f>IF(A38="","",INDEX('Registro Incidencias'!AU$5:AU$200,A38))</f>
        <v/>
      </c>
      <c r="Q38" s="32" t="str">
        <f>IF(A38="","",INDEX('Registro Incidencias'!AV$5:AV$200,A38))</f>
        <v/>
      </c>
      <c r="R38" s="32"/>
      <c r="S38" s="32"/>
    </row>
    <row r="39" spans="1:19" ht="15" customHeight="1" x14ac:dyDescent="0.25">
      <c r="A39" s="25" t="str">
        <f>IFERROR(MATCH(1,INDEX(('Registro Incidencias'!AX$5:AX$200="Juan Manuel"&amp;TEXT('📅 Semana'!B$10,"YYYYMMDD"))*('Registro Incidencias'!AY$5:AY$200=5),),0),"")</f>
        <v/>
      </c>
      <c r="B39" s="62" t="str">
        <f>IF(A39="","",INDEX('Registro Incidencias'!U$5:U$200,A39))</f>
        <v/>
      </c>
      <c r="C39" s="22" t="str">
        <f>IF(A39="","",INDEX('Registro Incidencias'!L$5:L$200,A39))</f>
        <v/>
      </c>
      <c r="D39" s="22" t="str">
        <f>IF(A39="","",INDEX('Registro Incidencias'!A$5:A$200,A39))</f>
        <v/>
      </c>
      <c r="E39" s="22" t="str">
        <f>IF(A39="","",INDEX('Registro Incidencias'!D$5:D$200,A39))</f>
        <v/>
      </c>
      <c r="F39" s="25" t="str">
        <f>IF(A39="","",INDEX('Registro Incidencias'!F$5:F$200,A39))</f>
        <v/>
      </c>
      <c r="G39" s="25" t="str">
        <f>IF(A39="","",INDEX('Registro Incidencias'!G$5:G$200,A39))</f>
        <v/>
      </c>
      <c r="H39" s="25" t="str">
        <f>IF(A39="","",INDEX('Registro Incidencias'!H$5:H$200,A39))</f>
        <v/>
      </c>
      <c r="I39" s="25" t="str">
        <f>IF(A39="","",INDEX('Registro Incidencias'!O$5:O$200,A39))</f>
        <v/>
      </c>
      <c r="J39" s="25" t="str">
        <f>IF(A39="","",INDEX('Registro Incidencias'!R$5:R$200,A39))</f>
        <v/>
      </c>
      <c r="K39" s="25" t="str">
        <f>IF(A39="","",INDEX('Registro Incidencias'!AF$5:AF$200,A39))</f>
        <v/>
      </c>
      <c r="L39" s="28" t="str">
        <f>IF(A39="","",INDEX('Registro Incidencias'!AI$5:AI$200,A39))</f>
        <v/>
      </c>
      <c r="M39" s="22" t="str">
        <f>IF(A39="","",INDEX('Registro Incidencias'!AD$5:AD$200,A39))</f>
        <v/>
      </c>
      <c r="N39" s="25" t="str">
        <f>IF(A39="","",INDEX('Registro Incidencias'!AE$5:AE$200,A39))</f>
        <v/>
      </c>
      <c r="O39" s="22" t="str">
        <f>IF(A39="","",INDEX('Registro Incidencias'!AK$5:AK$200,A39))</f>
        <v/>
      </c>
      <c r="P39" s="63" t="str">
        <f>IF(A39="","",INDEX('Registro Incidencias'!AU$5:AU$200,A39))</f>
        <v/>
      </c>
      <c r="Q39" s="32" t="str">
        <f>IF(A39="","",INDEX('Registro Incidencias'!AV$5:AV$200,A39))</f>
        <v/>
      </c>
      <c r="R39" s="32"/>
      <c r="S39" s="32"/>
    </row>
    <row r="40" spans="1:19" ht="15" customHeight="1" x14ac:dyDescent="0.25">
      <c r="A40" s="36" t="str">
        <f>IFERROR(MATCH(1,INDEX(('Registro Incidencias'!AX$5:AX$200="Juan Manuel"&amp;TEXT('📅 Semana'!B$10,"YYYYMMDD"))*('Registro Incidencias'!AY$5:AY$200=6),),0),"")</f>
        <v/>
      </c>
      <c r="B40" s="64" t="str">
        <f>IF(A40="","",INDEX('Registro Incidencias'!U$5:U$200,A40))</f>
        <v/>
      </c>
      <c r="C40" s="33" t="str">
        <f>IF(A40="","",INDEX('Registro Incidencias'!L$5:L$200,A40))</f>
        <v/>
      </c>
      <c r="D40" s="33" t="str">
        <f>IF(A40="","",INDEX('Registro Incidencias'!A$5:A$200,A40))</f>
        <v/>
      </c>
      <c r="E40" s="33" t="str">
        <f>IF(A40="","",INDEX('Registro Incidencias'!D$5:D$200,A40))</f>
        <v/>
      </c>
      <c r="F40" s="36" t="str">
        <f>IF(A40="","",INDEX('Registro Incidencias'!F$5:F$200,A40))</f>
        <v/>
      </c>
      <c r="G40" s="36" t="str">
        <f>IF(A40="","",INDEX('Registro Incidencias'!G$5:G$200,A40))</f>
        <v/>
      </c>
      <c r="H40" s="36" t="str">
        <f>IF(A40="","",INDEX('Registro Incidencias'!H$5:H$200,A40))</f>
        <v/>
      </c>
      <c r="I40" s="36" t="str">
        <f>IF(A40="","",INDEX('Registro Incidencias'!O$5:O$200,A40))</f>
        <v/>
      </c>
      <c r="J40" s="36" t="str">
        <f>IF(A40="","",INDEX('Registro Incidencias'!R$5:R$200,A40))</f>
        <v/>
      </c>
      <c r="K40" s="36" t="str">
        <f>IF(A40="","",INDEX('Registro Incidencias'!AF$5:AF$200,A40))</f>
        <v/>
      </c>
      <c r="L40" s="39" t="str">
        <f>IF(A40="","",INDEX('Registro Incidencias'!AI$5:AI$200,A40))</f>
        <v/>
      </c>
      <c r="M40" s="33" t="str">
        <f>IF(A40="","",INDEX('Registro Incidencias'!AD$5:AD$200,A40))</f>
        <v/>
      </c>
      <c r="N40" s="36" t="str">
        <f>IF(A40="","",INDEX('Registro Incidencias'!AE$5:AE$200,A40))</f>
        <v/>
      </c>
      <c r="O40" s="33" t="str">
        <f>IF(A40="","",INDEX('Registro Incidencias'!AK$5:AK$200,A40))</f>
        <v/>
      </c>
      <c r="P40" s="63" t="str">
        <f>IF(A40="","",INDEX('Registro Incidencias'!AU$5:AU$200,A40))</f>
        <v/>
      </c>
      <c r="Q40" s="32" t="str">
        <f>IF(A40="","",INDEX('Registro Incidencias'!AV$5:AV$200,A40))</f>
        <v/>
      </c>
      <c r="R40" s="32"/>
      <c r="S40" s="32"/>
    </row>
    <row r="41" spans="1:19" ht="21.75" customHeight="1" x14ac:dyDescent="0.25">
      <c r="A41" s="127" t="str">
        <f>COUNTIFS('Registro Incidencias'!S$5:S$200,"Juan Manuel",'Registro Incidencias'!T$5:T$200,'📅 Semana'!B$10)&amp;" averías"</f>
        <v>0 averías</v>
      </c>
      <c r="B41" s="127"/>
      <c r="C41" s="127"/>
      <c r="D41" s="127"/>
      <c r="E41" s="127"/>
      <c r="F41" s="127"/>
      <c r="G41" s="127"/>
      <c r="H41" s="127"/>
      <c r="I41" s="127"/>
      <c r="J41" s="2" t="str">
        <f>"Verificadas: "&amp;COUNTIFS(A35:A40,"&lt;&gt;",P35:P40,"&lt;&gt;")&amp;"/"&amp;COUNTIF(A35:A40,"&lt;&gt;")</f>
        <v>Verificadas: 6/6</v>
      </c>
      <c r="K41" s="2"/>
      <c r="L41" s="2"/>
      <c r="M41" s="2"/>
      <c r="N41" s="2"/>
      <c r="O41" s="2"/>
      <c r="P41" s="2"/>
    </row>
    <row r="43" spans="1:19" ht="30" customHeight="1" x14ac:dyDescent="0.25">
      <c r="A43" s="128" t="str">
        <f>TEXT('📅 Semana'!B$11,"DDDD")&amp;"  —  "&amp;TEXT('📅 Semana'!B$11,"DD/MM/")&amp;"2026"</f>
        <v>viernes  —  20/02/2026</v>
      </c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</row>
    <row r="44" spans="1:19" ht="30" customHeight="1" x14ac:dyDescent="0.25">
      <c r="A44" s="68" t="s">
        <v>85</v>
      </c>
      <c r="B44" s="68" t="s">
        <v>86</v>
      </c>
      <c r="C44" s="68" t="s">
        <v>18</v>
      </c>
      <c r="D44" s="68" t="s">
        <v>87</v>
      </c>
      <c r="E44" s="68" t="s">
        <v>88</v>
      </c>
      <c r="F44" s="68" t="s">
        <v>89</v>
      </c>
      <c r="G44" s="68" t="s">
        <v>13</v>
      </c>
      <c r="H44" s="68" t="s">
        <v>14</v>
      </c>
      <c r="I44" s="68" t="s">
        <v>90</v>
      </c>
      <c r="J44" s="68" t="s">
        <v>91</v>
      </c>
      <c r="K44" s="68" t="s">
        <v>92</v>
      </c>
      <c r="L44" s="68" t="s">
        <v>93</v>
      </c>
      <c r="M44" s="68" t="s">
        <v>94</v>
      </c>
      <c r="N44" s="68" t="s">
        <v>37</v>
      </c>
      <c r="O44" s="68" t="s">
        <v>43</v>
      </c>
      <c r="P44" s="61" t="s">
        <v>95</v>
      </c>
      <c r="Q44" s="61" t="s">
        <v>96</v>
      </c>
      <c r="R44" s="61" t="s">
        <v>97</v>
      </c>
      <c r="S44" s="61" t="s">
        <v>98</v>
      </c>
    </row>
    <row r="45" spans="1:19" ht="15" customHeight="1" x14ac:dyDescent="0.25">
      <c r="A45" s="25" t="str">
        <f>IFERROR(MATCH(1,INDEX(('Registro Incidencias'!AX$5:AX$200="Juan Manuel"&amp;TEXT('📅 Semana'!B$11,"YYYYMMDD"))*('Registro Incidencias'!AY$5:AY$200=1),),0),"")</f>
        <v/>
      </c>
      <c r="B45" s="62" t="str">
        <f>IF(A45="","",INDEX('Registro Incidencias'!U$5:U$200,A45))</f>
        <v/>
      </c>
      <c r="C45" s="22" t="str">
        <f>IF(A45="","",INDEX('Registro Incidencias'!L$5:L$200,A45))</f>
        <v/>
      </c>
      <c r="D45" s="22" t="str">
        <f>IF(A45="","",INDEX('Registro Incidencias'!A$5:A$200,A45))</f>
        <v/>
      </c>
      <c r="E45" s="22" t="str">
        <f>IF(A45="","",INDEX('Registro Incidencias'!D$5:D$200,A45))</f>
        <v/>
      </c>
      <c r="F45" s="25" t="str">
        <f>IF(A45="","",INDEX('Registro Incidencias'!F$5:F$200,A45))</f>
        <v/>
      </c>
      <c r="G45" s="25" t="str">
        <f>IF(A45="","",INDEX('Registro Incidencias'!G$5:G$200,A45))</f>
        <v/>
      </c>
      <c r="H45" s="25" t="str">
        <f>IF(A45="","",INDEX('Registro Incidencias'!H$5:H$200,A45))</f>
        <v/>
      </c>
      <c r="I45" s="25" t="str">
        <f>IF(A45="","",INDEX('Registro Incidencias'!O$5:O$200,A45))</f>
        <v/>
      </c>
      <c r="J45" s="25" t="str">
        <f>IF(A45="","",INDEX('Registro Incidencias'!R$5:R$200,A45))</f>
        <v/>
      </c>
      <c r="K45" s="25" t="str">
        <f>IF(A45="","",INDEX('Registro Incidencias'!AF$5:AF$200,A45))</f>
        <v/>
      </c>
      <c r="L45" s="28" t="str">
        <f>IF(A45="","",INDEX('Registro Incidencias'!AI$5:AI$200,A45))</f>
        <v/>
      </c>
      <c r="M45" s="22" t="str">
        <f>IF(A45="","",INDEX('Registro Incidencias'!AD$5:AD$200,A45))</f>
        <v/>
      </c>
      <c r="N45" s="25" t="str">
        <f>IF(A45="","",INDEX('Registro Incidencias'!AE$5:AE$200,A45))</f>
        <v/>
      </c>
      <c r="O45" s="22" t="str">
        <f>IF(A45="","",INDEX('Registro Incidencias'!AK$5:AK$200,A45))</f>
        <v/>
      </c>
      <c r="P45" s="63" t="str">
        <f>IF(A45="","",INDEX('Registro Incidencias'!AU$5:AU$200,A45))</f>
        <v/>
      </c>
      <c r="Q45" s="32" t="str">
        <f>IF(A45="","",INDEX('Registro Incidencias'!AV$5:AV$200,A45))</f>
        <v/>
      </c>
      <c r="R45" s="32"/>
      <c r="S45" s="32"/>
    </row>
    <row r="46" spans="1:19" ht="15" customHeight="1" x14ac:dyDescent="0.25">
      <c r="A46" s="36" t="str">
        <f>IFERROR(MATCH(1,INDEX(('Registro Incidencias'!AX$5:AX$200="Juan Manuel"&amp;TEXT('📅 Semana'!B$11,"YYYYMMDD"))*('Registro Incidencias'!AY$5:AY$200=2),),0),"")</f>
        <v/>
      </c>
      <c r="B46" s="64" t="str">
        <f>IF(A46="","",INDEX('Registro Incidencias'!U$5:U$200,A46))</f>
        <v/>
      </c>
      <c r="C46" s="33" t="str">
        <f>IF(A46="","",INDEX('Registro Incidencias'!L$5:L$200,A46))</f>
        <v/>
      </c>
      <c r="D46" s="33" t="str">
        <f>IF(A46="","",INDEX('Registro Incidencias'!A$5:A$200,A46))</f>
        <v/>
      </c>
      <c r="E46" s="33" t="str">
        <f>IF(A46="","",INDEX('Registro Incidencias'!D$5:D$200,A46))</f>
        <v/>
      </c>
      <c r="F46" s="36" t="str">
        <f>IF(A46="","",INDEX('Registro Incidencias'!F$5:F$200,A46))</f>
        <v/>
      </c>
      <c r="G46" s="36" t="str">
        <f>IF(A46="","",INDEX('Registro Incidencias'!G$5:G$200,A46))</f>
        <v/>
      </c>
      <c r="H46" s="36" t="str">
        <f>IF(A46="","",INDEX('Registro Incidencias'!H$5:H$200,A46))</f>
        <v/>
      </c>
      <c r="I46" s="36" t="str">
        <f>IF(A46="","",INDEX('Registro Incidencias'!O$5:O$200,A46))</f>
        <v/>
      </c>
      <c r="J46" s="36" t="str">
        <f>IF(A46="","",INDEX('Registro Incidencias'!R$5:R$200,A46))</f>
        <v/>
      </c>
      <c r="K46" s="36" t="str">
        <f>IF(A46="","",INDEX('Registro Incidencias'!AF$5:AF$200,A46))</f>
        <v/>
      </c>
      <c r="L46" s="39" t="str">
        <f>IF(A46="","",INDEX('Registro Incidencias'!AI$5:AI$200,A46))</f>
        <v/>
      </c>
      <c r="M46" s="33" t="str">
        <f>IF(A46="","",INDEX('Registro Incidencias'!AD$5:AD$200,A46))</f>
        <v/>
      </c>
      <c r="N46" s="36" t="str">
        <f>IF(A46="","",INDEX('Registro Incidencias'!AE$5:AE$200,A46))</f>
        <v/>
      </c>
      <c r="O46" s="33" t="str">
        <f>IF(A46="","",INDEX('Registro Incidencias'!AK$5:AK$200,A46))</f>
        <v/>
      </c>
      <c r="P46" s="63" t="str">
        <f>IF(A46="","",INDEX('Registro Incidencias'!AU$5:AU$200,A46))</f>
        <v/>
      </c>
      <c r="Q46" s="32" t="str">
        <f>IF(A46="","",INDEX('Registro Incidencias'!AV$5:AV$200,A46))</f>
        <v/>
      </c>
      <c r="R46" s="32"/>
      <c r="S46" s="32"/>
    </row>
    <row r="47" spans="1:19" ht="15" customHeight="1" x14ac:dyDescent="0.25">
      <c r="A47" s="25" t="str">
        <f>IFERROR(MATCH(1,INDEX(('Registro Incidencias'!AX$5:AX$200="Juan Manuel"&amp;TEXT('📅 Semana'!B$11,"YYYYMMDD"))*('Registro Incidencias'!AY$5:AY$200=3),),0),"")</f>
        <v/>
      </c>
      <c r="B47" s="62" t="str">
        <f>IF(A47="","",INDEX('Registro Incidencias'!U$5:U$200,A47))</f>
        <v/>
      </c>
      <c r="C47" s="22" t="str">
        <f>IF(A47="","",INDEX('Registro Incidencias'!L$5:L$200,A47))</f>
        <v/>
      </c>
      <c r="D47" s="22" t="str">
        <f>IF(A47="","",INDEX('Registro Incidencias'!A$5:A$200,A47))</f>
        <v/>
      </c>
      <c r="E47" s="22" t="str">
        <f>IF(A47="","",INDEX('Registro Incidencias'!D$5:D$200,A47))</f>
        <v/>
      </c>
      <c r="F47" s="25" t="str">
        <f>IF(A47="","",INDEX('Registro Incidencias'!F$5:F$200,A47))</f>
        <v/>
      </c>
      <c r="G47" s="25" t="str">
        <f>IF(A47="","",INDEX('Registro Incidencias'!G$5:G$200,A47))</f>
        <v/>
      </c>
      <c r="H47" s="25" t="str">
        <f>IF(A47="","",INDEX('Registro Incidencias'!H$5:H$200,A47))</f>
        <v/>
      </c>
      <c r="I47" s="25" t="str">
        <f>IF(A47="","",INDEX('Registro Incidencias'!O$5:O$200,A47))</f>
        <v/>
      </c>
      <c r="J47" s="25" t="str">
        <f>IF(A47="","",INDEX('Registro Incidencias'!R$5:R$200,A47))</f>
        <v/>
      </c>
      <c r="K47" s="25" t="str">
        <f>IF(A47="","",INDEX('Registro Incidencias'!AF$5:AF$200,A47))</f>
        <v/>
      </c>
      <c r="L47" s="28" t="str">
        <f>IF(A47="","",INDEX('Registro Incidencias'!AI$5:AI$200,A47))</f>
        <v/>
      </c>
      <c r="M47" s="22" t="str">
        <f>IF(A47="","",INDEX('Registro Incidencias'!AD$5:AD$200,A47))</f>
        <v/>
      </c>
      <c r="N47" s="25" t="str">
        <f>IF(A47="","",INDEX('Registro Incidencias'!AE$5:AE$200,A47))</f>
        <v/>
      </c>
      <c r="O47" s="22" t="str">
        <f>IF(A47="","",INDEX('Registro Incidencias'!AK$5:AK$200,A47))</f>
        <v/>
      </c>
      <c r="P47" s="63" t="str">
        <f>IF(A47="","",INDEX('Registro Incidencias'!AU$5:AU$200,A47))</f>
        <v/>
      </c>
      <c r="Q47" s="32" t="str">
        <f>IF(A47="","",INDEX('Registro Incidencias'!AV$5:AV$200,A47))</f>
        <v/>
      </c>
      <c r="R47" s="32"/>
      <c r="S47" s="32"/>
    </row>
    <row r="48" spans="1:19" ht="15" customHeight="1" x14ac:dyDescent="0.25">
      <c r="A48" s="36" t="str">
        <f>IFERROR(MATCH(1,INDEX(('Registro Incidencias'!AX$5:AX$200="Juan Manuel"&amp;TEXT('📅 Semana'!B$11,"YYYYMMDD"))*('Registro Incidencias'!AY$5:AY$200=4),),0),"")</f>
        <v/>
      </c>
      <c r="B48" s="64" t="str">
        <f>IF(A48="","",INDEX('Registro Incidencias'!U$5:U$200,A48))</f>
        <v/>
      </c>
      <c r="C48" s="33" t="str">
        <f>IF(A48="","",INDEX('Registro Incidencias'!L$5:L$200,A48))</f>
        <v/>
      </c>
      <c r="D48" s="33" t="str">
        <f>IF(A48="","",INDEX('Registro Incidencias'!A$5:A$200,A48))</f>
        <v/>
      </c>
      <c r="E48" s="33" t="str">
        <f>IF(A48="","",INDEX('Registro Incidencias'!D$5:D$200,A48))</f>
        <v/>
      </c>
      <c r="F48" s="36" t="str">
        <f>IF(A48="","",INDEX('Registro Incidencias'!F$5:F$200,A48))</f>
        <v/>
      </c>
      <c r="G48" s="36" t="str">
        <f>IF(A48="","",INDEX('Registro Incidencias'!G$5:G$200,A48))</f>
        <v/>
      </c>
      <c r="H48" s="36" t="str">
        <f>IF(A48="","",INDEX('Registro Incidencias'!H$5:H$200,A48))</f>
        <v/>
      </c>
      <c r="I48" s="36" t="str">
        <f>IF(A48="","",INDEX('Registro Incidencias'!O$5:O$200,A48))</f>
        <v/>
      </c>
      <c r="J48" s="36" t="str">
        <f>IF(A48="","",INDEX('Registro Incidencias'!R$5:R$200,A48))</f>
        <v/>
      </c>
      <c r="K48" s="36" t="str">
        <f>IF(A48="","",INDEX('Registro Incidencias'!AF$5:AF$200,A48))</f>
        <v/>
      </c>
      <c r="L48" s="39" t="str">
        <f>IF(A48="","",INDEX('Registro Incidencias'!AI$5:AI$200,A48))</f>
        <v/>
      </c>
      <c r="M48" s="33" t="str">
        <f>IF(A48="","",INDEX('Registro Incidencias'!AD$5:AD$200,A48))</f>
        <v/>
      </c>
      <c r="N48" s="36" t="str">
        <f>IF(A48="","",INDEX('Registro Incidencias'!AE$5:AE$200,A48))</f>
        <v/>
      </c>
      <c r="O48" s="33" t="str">
        <f>IF(A48="","",INDEX('Registro Incidencias'!AK$5:AK$200,A48))</f>
        <v/>
      </c>
      <c r="P48" s="63" t="str">
        <f>IF(A48="","",INDEX('Registro Incidencias'!AU$5:AU$200,A48))</f>
        <v/>
      </c>
      <c r="Q48" s="32" t="str">
        <f>IF(A48="","",INDEX('Registro Incidencias'!AV$5:AV$200,A48))</f>
        <v/>
      </c>
      <c r="R48" s="32"/>
      <c r="S48" s="32"/>
    </row>
    <row r="49" spans="1:19" ht="15" customHeight="1" x14ac:dyDescent="0.25">
      <c r="A49" s="25" t="str">
        <f>IFERROR(MATCH(1,INDEX(('Registro Incidencias'!AX$5:AX$200="Juan Manuel"&amp;TEXT('📅 Semana'!B$11,"YYYYMMDD"))*('Registro Incidencias'!AY$5:AY$200=5),),0),"")</f>
        <v/>
      </c>
      <c r="B49" s="62" t="str">
        <f>IF(A49="","",INDEX('Registro Incidencias'!U$5:U$200,A49))</f>
        <v/>
      </c>
      <c r="C49" s="22" t="str">
        <f>IF(A49="","",INDEX('Registro Incidencias'!L$5:L$200,A49))</f>
        <v/>
      </c>
      <c r="D49" s="22" t="str">
        <f>IF(A49="","",INDEX('Registro Incidencias'!A$5:A$200,A49))</f>
        <v/>
      </c>
      <c r="E49" s="22" t="str">
        <f>IF(A49="","",INDEX('Registro Incidencias'!D$5:D$200,A49))</f>
        <v/>
      </c>
      <c r="F49" s="25" t="str">
        <f>IF(A49="","",INDEX('Registro Incidencias'!F$5:F$200,A49))</f>
        <v/>
      </c>
      <c r="G49" s="25" t="str">
        <f>IF(A49="","",INDEX('Registro Incidencias'!G$5:G$200,A49))</f>
        <v/>
      </c>
      <c r="H49" s="25" t="str">
        <f>IF(A49="","",INDEX('Registro Incidencias'!H$5:H$200,A49))</f>
        <v/>
      </c>
      <c r="I49" s="25" t="str">
        <f>IF(A49="","",INDEX('Registro Incidencias'!O$5:O$200,A49))</f>
        <v/>
      </c>
      <c r="J49" s="25" t="str">
        <f>IF(A49="","",INDEX('Registro Incidencias'!R$5:R$200,A49))</f>
        <v/>
      </c>
      <c r="K49" s="25" t="str">
        <f>IF(A49="","",INDEX('Registro Incidencias'!AF$5:AF$200,A49))</f>
        <v/>
      </c>
      <c r="L49" s="28" t="str">
        <f>IF(A49="","",INDEX('Registro Incidencias'!AI$5:AI$200,A49))</f>
        <v/>
      </c>
      <c r="M49" s="22" t="str">
        <f>IF(A49="","",INDEX('Registro Incidencias'!AD$5:AD$200,A49))</f>
        <v/>
      </c>
      <c r="N49" s="25" t="str">
        <f>IF(A49="","",INDEX('Registro Incidencias'!AE$5:AE$200,A49))</f>
        <v/>
      </c>
      <c r="O49" s="22" t="str">
        <f>IF(A49="","",INDEX('Registro Incidencias'!AK$5:AK$200,A49))</f>
        <v/>
      </c>
      <c r="P49" s="63" t="str">
        <f>IF(A49="","",INDEX('Registro Incidencias'!AU$5:AU$200,A49))</f>
        <v/>
      </c>
      <c r="Q49" s="32" t="str">
        <f>IF(A49="","",INDEX('Registro Incidencias'!AV$5:AV$200,A49))</f>
        <v/>
      </c>
      <c r="R49" s="32"/>
      <c r="S49" s="32"/>
    </row>
    <row r="50" spans="1:19" ht="15" customHeight="1" x14ac:dyDescent="0.25">
      <c r="A50" s="36" t="str">
        <f>IFERROR(MATCH(1,INDEX(('Registro Incidencias'!AX$5:AX$200="Juan Manuel"&amp;TEXT('📅 Semana'!B$11,"YYYYMMDD"))*('Registro Incidencias'!AY$5:AY$200=6),),0),"")</f>
        <v/>
      </c>
      <c r="B50" s="64" t="str">
        <f>IF(A50="","",INDEX('Registro Incidencias'!U$5:U$200,A50))</f>
        <v/>
      </c>
      <c r="C50" s="33" t="str">
        <f>IF(A50="","",INDEX('Registro Incidencias'!L$5:L$200,A50))</f>
        <v/>
      </c>
      <c r="D50" s="33" t="str">
        <f>IF(A50="","",INDEX('Registro Incidencias'!A$5:A$200,A50))</f>
        <v/>
      </c>
      <c r="E50" s="33" t="str">
        <f>IF(A50="","",INDEX('Registro Incidencias'!D$5:D$200,A50))</f>
        <v/>
      </c>
      <c r="F50" s="36" t="str">
        <f>IF(A50="","",INDEX('Registro Incidencias'!F$5:F$200,A50))</f>
        <v/>
      </c>
      <c r="G50" s="36" t="str">
        <f>IF(A50="","",INDEX('Registro Incidencias'!G$5:G$200,A50))</f>
        <v/>
      </c>
      <c r="H50" s="36" t="str">
        <f>IF(A50="","",INDEX('Registro Incidencias'!H$5:H$200,A50))</f>
        <v/>
      </c>
      <c r="I50" s="36" t="str">
        <f>IF(A50="","",INDEX('Registro Incidencias'!O$5:O$200,A50))</f>
        <v/>
      </c>
      <c r="J50" s="36" t="str">
        <f>IF(A50="","",INDEX('Registro Incidencias'!R$5:R$200,A50))</f>
        <v/>
      </c>
      <c r="K50" s="36" t="str">
        <f>IF(A50="","",INDEX('Registro Incidencias'!AF$5:AF$200,A50))</f>
        <v/>
      </c>
      <c r="L50" s="39" t="str">
        <f>IF(A50="","",INDEX('Registro Incidencias'!AI$5:AI$200,A50))</f>
        <v/>
      </c>
      <c r="M50" s="33" t="str">
        <f>IF(A50="","",INDEX('Registro Incidencias'!AD$5:AD$200,A50))</f>
        <v/>
      </c>
      <c r="N50" s="36" t="str">
        <f>IF(A50="","",INDEX('Registro Incidencias'!AE$5:AE$200,A50))</f>
        <v/>
      </c>
      <c r="O50" s="33" t="str">
        <f>IF(A50="","",INDEX('Registro Incidencias'!AK$5:AK$200,A50))</f>
        <v/>
      </c>
      <c r="P50" s="63" t="str">
        <f>IF(A50="","",INDEX('Registro Incidencias'!AU$5:AU$200,A50))</f>
        <v/>
      </c>
      <c r="Q50" s="32" t="str">
        <f>IF(A50="","",INDEX('Registro Incidencias'!AV$5:AV$200,A50))</f>
        <v/>
      </c>
      <c r="R50" s="32"/>
      <c r="S50" s="32"/>
    </row>
    <row r="51" spans="1:19" ht="21.75" customHeight="1" x14ac:dyDescent="0.25">
      <c r="A51" s="129" t="str">
        <f>COUNTIFS('Registro Incidencias'!S$5:S$200,"Juan Manuel",'Registro Incidencias'!T$5:T$200,'📅 Semana'!B$11)&amp;" averías"</f>
        <v>0 averías</v>
      </c>
      <c r="B51" s="129"/>
      <c r="C51" s="129"/>
      <c r="D51" s="129"/>
      <c r="E51" s="129"/>
      <c r="F51" s="129"/>
      <c r="G51" s="129"/>
      <c r="H51" s="129"/>
      <c r="I51" s="129"/>
      <c r="J51" s="2" t="str">
        <f>"Verificadas: "&amp;COUNTIFS(A45:A50,"&lt;&gt;",P45:P50,"&lt;&gt;")&amp;"/"&amp;COUNTIF(A45:A50,"&lt;&gt;")</f>
        <v>Verificadas: 6/6</v>
      </c>
      <c r="K51" s="2"/>
      <c r="L51" s="2"/>
      <c r="M51" s="2"/>
      <c r="N51" s="2"/>
      <c r="O51" s="2"/>
      <c r="P51" s="2"/>
    </row>
    <row r="53" spans="1:19" ht="30" customHeight="1" x14ac:dyDescent="0.25">
      <c r="A53" s="130" t="str">
        <f>TEXT('📅 Semana'!B$12,"DDDD")&amp;"  —  "&amp;TEXT('📅 Semana'!B$12,"DD/MM/")&amp;"2026"</f>
        <v>sábado  —  21/02/2026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</row>
    <row r="54" spans="1:19" ht="30" customHeight="1" x14ac:dyDescent="0.25">
      <c r="A54" s="69" t="s">
        <v>85</v>
      </c>
      <c r="B54" s="69" t="s">
        <v>86</v>
      </c>
      <c r="C54" s="69" t="s">
        <v>18</v>
      </c>
      <c r="D54" s="69" t="s">
        <v>87</v>
      </c>
      <c r="E54" s="69" t="s">
        <v>88</v>
      </c>
      <c r="F54" s="69" t="s">
        <v>89</v>
      </c>
      <c r="G54" s="69" t="s">
        <v>13</v>
      </c>
      <c r="H54" s="69" t="s">
        <v>14</v>
      </c>
      <c r="I54" s="69" t="s">
        <v>90</v>
      </c>
      <c r="J54" s="69" t="s">
        <v>91</v>
      </c>
      <c r="K54" s="69" t="s">
        <v>92</v>
      </c>
      <c r="L54" s="69" t="s">
        <v>93</v>
      </c>
      <c r="M54" s="69" t="s">
        <v>94</v>
      </c>
      <c r="N54" s="69" t="s">
        <v>37</v>
      </c>
      <c r="O54" s="69" t="s">
        <v>43</v>
      </c>
      <c r="P54" s="61" t="s">
        <v>95</v>
      </c>
      <c r="Q54" s="61" t="s">
        <v>96</v>
      </c>
      <c r="R54" s="61" t="s">
        <v>97</v>
      </c>
      <c r="S54" s="61" t="s">
        <v>98</v>
      </c>
    </row>
    <row r="55" spans="1:19" ht="15" customHeight="1" x14ac:dyDescent="0.25">
      <c r="A55" s="25" t="str">
        <f>IFERROR(MATCH(1,INDEX(('Registro Incidencias'!AX$5:AX$200="Juan Manuel"&amp;TEXT('📅 Semana'!B$12,"YYYYMMDD"))*('Registro Incidencias'!AY$5:AY$200=1),),0),"")</f>
        <v/>
      </c>
      <c r="B55" s="62" t="str">
        <f>IF(A55="","",INDEX('Registro Incidencias'!U$5:U$200,A55))</f>
        <v/>
      </c>
      <c r="C55" s="22" t="str">
        <f>IF(A55="","",INDEX('Registro Incidencias'!L$5:L$200,A55))</f>
        <v/>
      </c>
      <c r="D55" s="22" t="str">
        <f>IF(A55="","",INDEX('Registro Incidencias'!A$5:A$200,A55))</f>
        <v/>
      </c>
      <c r="E55" s="22" t="str">
        <f>IF(A55="","",INDEX('Registro Incidencias'!D$5:D$200,A55))</f>
        <v/>
      </c>
      <c r="F55" s="25" t="str">
        <f>IF(A55="","",INDEX('Registro Incidencias'!F$5:F$200,A55))</f>
        <v/>
      </c>
      <c r="G55" s="25" t="str">
        <f>IF(A55="","",INDEX('Registro Incidencias'!G$5:G$200,A55))</f>
        <v/>
      </c>
      <c r="H55" s="25" t="str">
        <f>IF(A55="","",INDEX('Registro Incidencias'!H$5:H$200,A55))</f>
        <v/>
      </c>
      <c r="I55" s="25" t="str">
        <f>IF(A55="","",INDEX('Registro Incidencias'!O$5:O$200,A55))</f>
        <v/>
      </c>
      <c r="J55" s="25" t="str">
        <f>IF(A55="","",INDEX('Registro Incidencias'!R$5:R$200,A55))</f>
        <v/>
      </c>
      <c r="K55" s="25" t="str">
        <f>IF(A55="","",INDEX('Registro Incidencias'!AF$5:AF$200,A55))</f>
        <v/>
      </c>
      <c r="L55" s="28" t="str">
        <f>IF(A55="","",INDEX('Registro Incidencias'!AI$5:AI$200,A55))</f>
        <v/>
      </c>
      <c r="M55" s="22" t="str">
        <f>IF(A55="","",INDEX('Registro Incidencias'!AD$5:AD$200,A55))</f>
        <v/>
      </c>
      <c r="N55" s="25" t="str">
        <f>IF(A55="","",INDEX('Registro Incidencias'!AE$5:AE$200,A55))</f>
        <v/>
      </c>
      <c r="O55" s="22" t="str">
        <f>IF(A55="","",INDEX('Registro Incidencias'!AK$5:AK$200,A55))</f>
        <v/>
      </c>
      <c r="P55" s="63" t="str">
        <f>IF(A55="","",INDEX('Registro Incidencias'!AU$5:AU$200,A55))</f>
        <v/>
      </c>
      <c r="Q55" s="32" t="str">
        <f>IF(A55="","",INDEX('Registro Incidencias'!AV$5:AV$200,A55))</f>
        <v/>
      </c>
      <c r="R55" s="32"/>
      <c r="S55" s="32"/>
    </row>
    <row r="56" spans="1:19" ht="15" customHeight="1" x14ac:dyDescent="0.25">
      <c r="A56" s="36" t="str">
        <f>IFERROR(MATCH(1,INDEX(('Registro Incidencias'!AX$5:AX$200="Juan Manuel"&amp;TEXT('📅 Semana'!B$12,"YYYYMMDD"))*('Registro Incidencias'!AY$5:AY$200=2),),0),"")</f>
        <v/>
      </c>
      <c r="B56" s="64" t="str">
        <f>IF(A56="","",INDEX('Registro Incidencias'!U$5:U$200,A56))</f>
        <v/>
      </c>
      <c r="C56" s="33" t="str">
        <f>IF(A56="","",INDEX('Registro Incidencias'!L$5:L$200,A56))</f>
        <v/>
      </c>
      <c r="D56" s="33" t="str">
        <f>IF(A56="","",INDEX('Registro Incidencias'!A$5:A$200,A56))</f>
        <v/>
      </c>
      <c r="E56" s="33" t="str">
        <f>IF(A56="","",INDEX('Registro Incidencias'!D$5:D$200,A56))</f>
        <v/>
      </c>
      <c r="F56" s="36" t="str">
        <f>IF(A56="","",INDEX('Registro Incidencias'!F$5:F$200,A56))</f>
        <v/>
      </c>
      <c r="G56" s="36" t="str">
        <f>IF(A56="","",INDEX('Registro Incidencias'!G$5:G$200,A56))</f>
        <v/>
      </c>
      <c r="H56" s="36" t="str">
        <f>IF(A56="","",INDEX('Registro Incidencias'!H$5:H$200,A56))</f>
        <v/>
      </c>
      <c r="I56" s="36" t="str">
        <f>IF(A56="","",INDEX('Registro Incidencias'!O$5:O$200,A56))</f>
        <v/>
      </c>
      <c r="J56" s="36" t="str">
        <f>IF(A56="","",INDEX('Registro Incidencias'!R$5:R$200,A56))</f>
        <v/>
      </c>
      <c r="K56" s="36" t="str">
        <f>IF(A56="","",INDEX('Registro Incidencias'!AF$5:AF$200,A56))</f>
        <v/>
      </c>
      <c r="L56" s="39" t="str">
        <f>IF(A56="","",INDEX('Registro Incidencias'!AI$5:AI$200,A56))</f>
        <v/>
      </c>
      <c r="M56" s="33" t="str">
        <f>IF(A56="","",INDEX('Registro Incidencias'!AD$5:AD$200,A56))</f>
        <v/>
      </c>
      <c r="N56" s="36" t="str">
        <f>IF(A56="","",INDEX('Registro Incidencias'!AE$5:AE$200,A56))</f>
        <v/>
      </c>
      <c r="O56" s="33" t="str">
        <f>IF(A56="","",INDEX('Registro Incidencias'!AK$5:AK$200,A56))</f>
        <v/>
      </c>
      <c r="P56" s="63" t="str">
        <f>IF(A56="","",INDEX('Registro Incidencias'!AU$5:AU$200,A56))</f>
        <v/>
      </c>
      <c r="Q56" s="32" t="str">
        <f>IF(A56="","",INDEX('Registro Incidencias'!AV$5:AV$200,A56))</f>
        <v/>
      </c>
      <c r="R56" s="32"/>
      <c r="S56" s="32"/>
    </row>
    <row r="57" spans="1:19" ht="15" customHeight="1" x14ac:dyDescent="0.25">
      <c r="A57" s="25" t="str">
        <f>IFERROR(MATCH(1,INDEX(('Registro Incidencias'!AX$5:AX$200="Juan Manuel"&amp;TEXT('📅 Semana'!B$12,"YYYYMMDD"))*('Registro Incidencias'!AY$5:AY$200=3),),0),"")</f>
        <v/>
      </c>
      <c r="B57" s="62" t="str">
        <f>IF(A57="","",INDEX('Registro Incidencias'!U$5:U$200,A57))</f>
        <v/>
      </c>
      <c r="C57" s="22" t="str">
        <f>IF(A57="","",INDEX('Registro Incidencias'!L$5:L$200,A57))</f>
        <v/>
      </c>
      <c r="D57" s="22" t="str">
        <f>IF(A57="","",INDEX('Registro Incidencias'!A$5:A$200,A57))</f>
        <v/>
      </c>
      <c r="E57" s="22" t="str">
        <f>IF(A57="","",INDEX('Registro Incidencias'!D$5:D$200,A57))</f>
        <v/>
      </c>
      <c r="F57" s="25" t="str">
        <f>IF(A57="","",INDEX('Registro Incidencias'!F$5:F$200,A57))</f>
        <v/>
      </c>
      <c r="G57" s="25" t="str">
        <f>IF(A57="","",INDEX('Registro Incidencias'!G$5:G$200,A57))</f>
        <v/>
      </c>
      <c r="H57" s="25" t="str">
        <f>IF(A57="","",INDEX('Registro Incidencias'!H$5:H$200,A57))</f>
        <v/>
      </c>
      <c r="I57" s="25" t="str">
        <f>IF(A57="","",INDEX('Registro Incidencias'!O$5:O$200,A57))</f>
        <v/>
      </c>
      <c r="J57" s="25" t="str">
        <f>IF(A57="","",INDEX('Registro Incidencias'!R$5:R$200,A57))</f>
        <v/>
      </c>
      <c r="K57" s="25" t="str">
        <f>IF(A57="","",INDEX('Registro Incidencias'!AF$5:AF$200,A57))</f>
        <v/>
      </c>
      <c r="L57" s="28" t="str">
        <f>IF(A57="","",INDEX('Registro Incidencias'!AI$5:AI$200,A57))</f>
        <v/>
      </c>
      <c r="M57" s="22" t="str">
        <f>IF(A57="","",INDEX('Registro Incidencias'!AD$5:AD$200,A57))</f>
        <v/>
      </c>
      <c r="N57" s="25" t="str">
        <f>IF(A57="","",INDEX('Registro Incidencias'!AE$5:AE$200,A57))</f>
        <v/>
      </c>
      <c r="O57" s="22" t="str">
        <f>IF(A57="","",INDEX('Registro Incidencias'!AK$5:AK$200,A57))</f>
        <v/>
      </c>
      <c r="P57" s="63" t="str">
        <f>IF(A57="","",INDEX('Registro Incidencias'!AU$5:AU$200,A57))</f>
        <v/>
      </c>
      <c r="Q57" s="32" t="str">
        <f>IF(A57="","",INDEX('Registro Incidencias'!AV$5:AV$200,A57))</f>
        <v/>
      </c>
      <c r="R57" s="32"/>
      <c r="S57" s="32"/>
    </row>
    <row r="58" spans="1:19" ht="15" customHeight="1" x14ac:dyDescent="0.25">
      <c r="A58" s="36" t="str">
        <f>IFERROR(MATCH(1,INDEX(('Registro Incidencias'!AX$5:AX$200="Juan Manuel"&amp;TEXT('📅 Semana'!B$12,"YYYYMMDD"))*('Registro Incidencias'!AY$5:AY$200=4),),0),"")</f>
        <v/>
      </c>
      <c r="B58" s="64" t="str">
        <f>IF(A58="","",INDEX('Registro Incidencias'!U$5:U$200,A58))</f>
        <v/>
      </c>
      <c r="C58" s="33" t="str">
        <f>IF(A58="","",INDEX('Registro Incidencias'!L$5:L$200,A58))</f>
        <v/>
      </c>
      <c r="D58" s="33" t="str">
        <f>IF(A58="","",INDEX('Registro Incidencias'!A$5:A$200,A58))</f>
        <v/>
      </c>
      <c r="E58" s="33" t="str">
        <f>IF(A58="","",INDEX('Registro Incidencias'!D$5:D$200,A58))</f>
        <v/>
      </c>
      <c r="F58" s="36" t="str">
        <f>IF(A58="","",INDEX('Registro Incidencias'!F$5:F$200,A58))</f>
        <v/>
      </c>
      <c r="G58" s="36" t="str">
        <f>IF(A58="","",INDEX('Registro Incidencias'!G$5:G$200,A58))</f>
        <v/>
      </c>
      <c r="H58" s="36" t="str">
        <f>IF(A58="","",INDEX('Registro Incidencias'!H$5:H$200,A58))</f>
        <v/>
      </c>
      <c r="I58" s="36" t="str">
        <f>IF(A58="","",INDEX('Registro Incidencias'!O$5:O$200,A58))</f>
        <v/>
      </c>
      <c r="J58" s="36" t="str">
        <f>IF(A58="","",INDEX('Registro Incidencias'!R$5:R$200,A58))</f>
        <v/>
      </c>
      <c r="K58" s="36" t="str">
        <f>IF(A58="","",INDEX('Registro Incidencias'!AF$5:AF$200,A58))</f>
        <v/>
      </c>
      <c r="L58" s="39" t="str">
        <f>IF(A58="","",INDEX('Registro Incidencias'!AI$5:AI$200,A58))</f>
        <v/>
      </c>
      <c r="M58" s="33" t="str">
        <f>IF(A58="","",INDEX('Registro Incidencias'!AD$5:AD$200,A58))</f>
        <v/>
      </c>
      <c r="N58" s="36" t="str">
        <f>IF(A58="","",INDEX('Registro Incidencias'!AE$5:AE$200,A58))</f>
        <v/>
      </c>
      <c r="O58" s="33" t="str">
        <f>IF(A58="","",INDEX('Registro Incidencias'!AK$5:AK$200,A58))</f>
        <v/>
      </c>
      <c r="P58" s="63" t="str">
        <f>IF(A58="","",INDEX('Registro Incidencias'!AU$5:AU$200,A58))</f>
        <v/>
      </c>
      <c r="Q58" s="32" t="str">
        <f>IF(A58="","",INDEX('Registro Incidencias'!AV$5:AV$200,A58))</f>
        <v/>
      </c>
      <c r="R58" s="32"/>
      <c r="S58" s="32"/>
    </row>
    <row r="59" spans="1:19" ht="15" customHeight="1" x14ac:dyDescent="0.25">
      <c r="A59" s="25" t="str">
        <f>IFERROR(MATCH(1,INDEX(('Registro Incidencias'!AX$5:AX$200="Juan Manuel"&amp;TEXT('📅 Semana'!B$12,"YYYYMMDD"))*('Registro Incidencias'!AY$5:AY$200=5),),0),"")</f>
        <v/>
      </c>
      <c r="B59" s="62" t="str">
        <f>IF(A59="","",INDEX('Registro Incidencias'!U$5:U$200,A59))</f>
        <v/>
      </c>
      <c r="C59" s="22" t="str">
        <f>IF(A59="","",INDEX('Registro Incidencias'!L$5:L$200,A59))</f>
        <v/>
      </c>
      <c r="D59" s="22" t="str">
        <f>IF(A59="","",INDEX('Registro Incidencias'!A$5:A$200,A59))</f>
        <v/>
      </c>
      <c r="E59" s="22" t="str">
        <f>IF(A59="","",INDEX('Registro Incidencias'!D$5:D$200,A59))</f>
        <v/>
      </c>
      <c r="F59" s="25" t="str">
        <f>IF(A59="","",INDEX('Registro Incidencias'!F$5:F$200,A59))</f>
        <v/>
      </c>
      <c r="G59" s="25" t="str">
        <f>IF(A59="","",INDEX('Registro Incidencias'!G$5:G$200,A59))</f>
        <v/>
      </c>
      <c r="H59" s="25" t="str">
        <f>IF(A59="","",INDEX('Registro Incidencias'!H$5:H$200,A59))</f>
        <v/>
      </c>
      <c r="I59" s="25" t="str">
        <f>IF(A59="","",INDEX('Registro Incidencias'!O$5:O$200,A59))</f>
        <v/>
      </c>
      <c r="J59" s="25" t="str">
        <f>IF(A59="","",INDEX('Registro Incidencias'!R$5:R$200,A59))</f>
        <v/>
      </c>
      <c r="K59" s="25" t="str">
        <f>IF(A59="","",INDEX('Registro Incidencias'!AF$5:AF$200,A59))</f>
        <v/>
      </c>
      <c r="L59" s="28" t="str">
        <f>IF(A59="","",INDEX('Registro Incidencias'!AI$5:AI$200,A59))</f>
        <v/>
      </c>
      <c r="M59" s="22" t="str">
        <f>IF(A59="","",INDEX('Registro Incidencias'!AD$5:AD$200,A59))</f>
        <v/>
      </c>
      <c r="N59" s="25" t="str">
        <f>IF(A59="","",INDEX('Registro Incidencias'!AE$5:AE$200,A59))</f>
        <v/>
      </c>
      <c r="O59" s="22" t="str">
        <f>IF(A59="","",INDEX('Registro Incidencias'!AK$5:AK$200,A59))</f>
        <v/>
      </c>
      <c r="P59" s="63" t="str">
        <f>IF(A59="","",INDEX('Registro Incidencias'!AU$5:AU$200,A59))</f>
        <v/>
      </c>
      <c r="Q59" s="32" t="str">
        <f>IF(A59="","",INDEX('Registro Incidencias'!AV$5:AV$200,A59))</f>
        <v/>
      </c>
      <c r="R59" s="32"/>
      <c r="S59" s="32"/>
    </row>
    <row r="60" spans="1:19" ht="15" customHeight="1" x14ac:dyDescent="0.25">
      <c r="A60" s="36" t="str">
        <f>IFERROR(MATCH(1,INDEX(('Registro Incidencias'!AX$5:AX$200="Juan Manuel"&amp;TEXT('📅 Semana'!B$12,"YYYYMMDD"))*('Registro Incidencias'!AY$5:AY$200=6),),0),"")</f>
        <v/>
      </c>
      <c r="B60" s="64" t="str">
        <f>IF(A60="","",INDEX('Registro Incidencias'!U$5:U$200,A60))</f>
        <v/>
      </c>
      <c r="C60" s="33" t="str">
        <f>IF(A60="","",INDEX('Registro Incidencias'!L$5:L$200,A60))</f>
        <v/>
      </c>
      <c r="D60" s="33" t="str">
        <f>IF(A60="","",INDEX('Registro Incidencias'!A$5:A$200,A60))</f>
        <v/>
      </c>
      <c r="E60" s="33" t="str">
        <f>IF(A60="","",INDEX('Registro Incidencias'!D$5:D$200,A60))</f>
        <v/>
      </c>
      <c r="F60" s="36" t="str">
        <f>IF(A60="","",INDEX('Registro Incidencias'!F$5:F$200,A60))</f>
        <v/>
      </c>
      <c r="G60" s="36" t="str">
        <f>IF(A60="","",INDEX('Registro Incidencias'!G$5:G$200,A60))</f>
        <v/>
      </c>
      <c r="H60" s="36" t="str">
        <f>IF(A60="","",INDEX('Registro Incidencias'!H$5:H$200,A60))</f>
        <v/>
      </c>
      <c r="I60" s="36" t="str">
        <f>IF(A60="","",INDEX('Registro Incidencias'!O$5:O$200,A60))</f>
        <v/>
      </c>
      <c r="J60" s="36" t="str">
        <f>IF(A60="","",INDEX('Registro Incidencias'!R$5:R$200,A60))</f>
        <v/>
      </c>
      <c r="K60" s="36" t="str">
        <f>IF(A60="","",INDEX('Registro Incidencias'!AF$5:AF$200,A60))</f>
        <v/>
      </c>
      <c r="L60" s="39" t="str">
        <f>IF(A60="","",INDEX('Registro Incidencias'!AI$5:AI$200,A60))</f>
        <v/>
      </c>
      <c r="M60" s="33" t="str">
        <f>IF(A60="","",INDEX('Registro Incidencias'!AD$5:AD$200,A60))</f>
        <v/>
      </c>
      <c r="N60" s="36" t="str">
        <f>IF(A60="","",INDEX('Registro Incidencias'!AE$5:AE$200,A60))</f>
        <v/>
      </c>
      <c r="O60" s="33" t="str">
        <f>IF(A60="","",INDEX('Registro Incidencias'!AK$5:AK$200,A60))</f>
        <v/>
      </c>
      <c r="P60" s="63" t="str">
        <f>IF(A60="","",INDEX('Registro Incidencias'!AU$5:AU$200,A60))</f>
        <v/>
      </c>
      <c r="Q60" s="32" t="str">
        <f>IF(A60="","",INDEX('Registro Incidencias'!AV$5:AV$200,A60))</f>
        <v/>
      </c>
      <c r="R60" s="32"/>
      <c r="S60" s="32"/>
    </row>
    <row r="61" spans="1:19" ht="21.75" customHeight="1" x14ac:dyDescent="0.25">
      <c r="A61" s="131" t="str">
        <f>COUNTIFS('Registro Incidencias'!S$5:S$200,"Juan Manuel",'Registro Incidencias'!T$5:T$200,'📅 Semana'!B$12)&amp;" averías"</f>
        <v>0 averías</v>
      </c>
      <c r="B61" s="131"/>
      <c r="C61" s="131"/>
      <c r="D61" s="131"/>
      <c r="E61" s="131"/>
      <c r="F61" s="131"/>
      <c r="G61" s="131"/>
      <c r="H61" s="131"/>
      <c r="I61" s="131"/>
      <c r="J61" s="2" t="str">
        <f>"Verificadas: "&amp;COUNTIFS(A55:A60,"&lt;&gt;",P55:P60,"&lt;&gt;")&amp;"/"&amp;COUNTIF(A55:A60,"&lt;&gt;")</f>
        <v>Verificadas: 6/6</v>
      </c>
      <c r="K61" s="2"/>
      <c r="L61" s="2"/>
      <c r="M61" s="2"/>
      <c r="N61" s="2"/>
      <c r="O61" s="2"/>
      <c r="P61" s="2"/>
    </row>
    <row r="63" spans="1:19" ht="30" customHeight="1" x14ac:dyDescent="0.25">
      <c r="A63" s="132" t="str">
        <f>TEXT('📅 Semana'!B$13,"DDDD")&amp;"  —  "&amp;TEXT('📅 Semana'!B$13,"DD/MM/")&amp;"2026"</f>
        <v>domingo  —  22/02/2026</v>
      </c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</row>
    <row r="64" spans="1:19" ht="30" customHeight="1" x14ac:dyDescent="0.25">
      <c r="A64" s="70" t="s">
        <v>85</v>
      </c>
      <c r="B64" s="70" t="s">
        <v>86</v>
      </c>
      <c r="C64" s="70" t="s">
        <v>18</v>
      </c>
      <c r="D64" s="70" t="s">
        <v>87</v>
      </c>
      <c r="E64" s="70" t="s">
        <v>88</v>
      </c>
      <c r="F64" s="70" t="s">
        <v>89</v>
      </c>
      <c r="G64" s="70" t="s">
        <v>13</v>
      </c>
      <c r="H64" s="70" t="s">
        <v>14</v>
      </c>
      <c r="I64" s="70" t="s">
        <v>90</v>
      </c>
      <c r="J64" s="70" t="s">
        <v>91</v>
      </c>
      <c r="K64" s="70" t="s">
        <v>92</v>
      </c>
      <c r="L64" s="70" t="s">
        <v>93</v>
      </c>
      <c r="M64" s="70" t="s">
        <v>94</v>
      </c>
      <c r="N64" s="70" t="s">
        <v>37</v>
      </c>
      <c r="O64" s="70" t="s">
        <v>43</v>
      </c>
      <c r="P64" s="61" t="s">
        <v>95</v>
      </c>
      <c r="Q64" s="61" t="s">
        <v>96</v>
      </c>
      <c r="R64" s="61" t="s">
        <v>97</v>
      </c>
      <c r="S64" s="61" t="s">
        <v>98</v>
      </c>
    </row>
    <row r="65" spans="1:19" ht="15" customHeight="1" x14ac:dyDescent="0.25">
      <c r="A65" s="25" t="str">
        <f>IFERROR(MATCH(1,INDEX(('Registro Incidencias'!AX$5:AX$200="Juan Manuel"&amp;TEXT('📅 Semana'!B$13,"YYYYMMDD"))*('Registro Incidencias'!AY$5:AY$200=1),),0),"")</f>
        <v/>
      </c>
      <c r="B65" s="62" t="str">
        <f>IF(A65="","",INDEX('Registro Incidencias'!U$5:U$200,A65))</f>
        <v/>
      </c>
      <c r="C65" s="22" t="str">
        <f>IF(A65="","",INDEX('Registro Incidencias'!L$5:L$200,A65))</f>
        <v/>
      </c>
      <c r="D65" s="22" t="str">
        <f>IF(A65="","",INDEX('Registro Incidencias'!A$5:A$200,A65))</f>
        <v/>
      </c>
      <c r="E65" s="22" t="str">
        <f>IF(A65="","",INDEX('Registro Incidencias'!D$5:D$200,A65))</f>
        <v/>
      </c>
      <c r="F65" s="25" t="str">
        <f>IF(A65="","",INDEX('Registro Incidencias'!F$5:F$200,A65))</f>
        <v/>
      </c>
      <c r="G65" s="25" t="str">
        <f>IF(A65="","",INDEX('Registro Incidencias'!G$5:G$200,A65))</f>
        <v/>
      </c>
      <c r="H65" s="25" t="str">
        <f>IF(A65="","",INDEX('Registro Incidencias'!H$5:H$200,A65))</f>
        <v/>
      </c>
      <c r="I65" s="25" t="str">
        <f>IF(A65="","",INDEX('Registro Incidencias'!O$5:O$200,A65))</f>
        <v/>
      </c>
      <c r="J65" s="25" t="str">
        <f>IF(A65="","",INDEX('Registro Incidencias'!R$5:R$200,A65))</f>
        <v/>
      </c>
      <c r="K65" s="25" t="str">
        <f>IF(A65="","",INDEX('Registro Incidencias'!AF$5:AF$200,A65))</f>
        <v/>
      </c>
      <c r="L65" s="28" t="str">
        <f>IF(A65="","",INDEX('Registro Incidencias'!AI$5:AI$200,A65))</f>
        <v/>
      </c>
      <c r="M65" s="22" t="str">
        <f>IF(A65="","",INDEX('Registro Incidencias'!AD$5:AD$200,A65))</f>
        <v/>
      </c>
      <c r="N65" s="25" t="str">
        <f>IF(A65="","",INDEX('Registro Incidencias'!AE$5:AE$200,A65))</f>
        <v/>
      </c>
      <c r="O65" s="22" t="str">
        <f>IF(A65="","",INDEX('Registro Incidencias'!AK$5:AK$200,A65))</f>
        <v/>
      </c>
      <c r="P65" s="63" t="str">
        <f>IF(A65="","",INDEX('Registro Incidencias'!AU$5:AU$200,A65))</f>
        <v/>
      </c>
      <c r="Q65" s="32" t="str">
        <f>IF(A65="","",INDEX('Registro Incidencias'!AV$5:AV$200,A65))</f>
        <v/>
      </c>
      <c r="R65" s="32"/>
      <c r="S65" s="32"/>
    </row>
    <row r="66" spans="1:19" ht="15" customHeight="1" x14ac:dyDescent="0.25">
      <c r="A66" s="36" t="str">
        <f>IFERROR(MATCH(1,INDEX(('Registro Incidencias'!AX$5:AX$200="Juan Manuel"&amp;TEXT('📅 Semana'!B$13,"YYYYMMDD"))*('Registro Incidencias'!AY$5:AY$200=2),),0),"")</f>
        <v/>
      </c>
      <c r="B66" s="64" t="str">
        <f>IF(A66="","",INDEX('Registro Incidencias'!U$5:U$200,A66))</f>
        <v/>
      </c>
      <c r="C66" s="33" t="str">
        <f>IF(A66="","",INDEX('Registro Incidencias'!L$5:L$200,A66))</f>
        <v/>
      </c>
      <c r="D66" s="33" t="str">
        <f>IF(A66="","",INDEX('Registro Incidencias'!A$5:A$200,A66))</f>
        <v/>
      </c>
      <c r="E66" s="33" t="str">
        <f>IF(A66="","",INDEX('Registro Incidencias'!D$5:D$200,A66))</f>
        <v/>
      </c>
      <c r="F66" s="36" t="str">
        <f>IF(A66="","",INDEX('Registro Incidencias'!F$5:F$200,A66))</f>
        <v/>
      </c>
      <c r="G66" s="36" t="str">
        <f>IF(A66="","",INDEX('Registro Incidencias'!G$5:G$200,A66))</f>
        <v/>
      </c>
      <c r="H66" s="36" t="str">
        <f>IF(A66="","",INDEX('Registro Incidencias'!H$5:H$200,A66))</f>
        <v/>
      </c>
      <c r="I66" s="36" t="str">
        <f>IF(A66="","",INDEX('Registro Incidencias'!O$5:O$200,A66))</f>
        <v/>
      </c>
      <c r="J66" s="36" t="str">
        <f>IF(A66="","",INDEX('Registro Incidencias'!R$5:R$200,A66))</f>
        <v/>
      </c>
      <c r="K66" s="36" t="str">
        <f>IF(A66="","",INDEX('Registro Incidencias'!AF$5:AF$200,A66))</f>
        <v/>
      </c>
      <c r="L66" s="39" t="str">
        <f>IF(A66="","",INDEX('Registro Incidencias'!AI$5:AI$200,A66))</f>
        <v/>
      </c>
      <c r="M66" s="33" t="str">
        <f>IF(A66="","",INDEX('Registro Incidencias'!AD$5:AD$200,A66))</f>
        <v/>
      </c>
      <c r="N66" s="36" t="str">
        <f>IF(A66="","",INDEX('Registro Incidencias'!AE$5:AE$200,A66))</f>
        <v/>
      </c>
      <c r="O66" s="33" t="str">
        <f>IF(A66="","",INDEX('Registro Incidencias'!AK$5:AK$200,A66))</f>
        <v/>
      </c>
      <c r="P66" s="63" t="str">
        <f>IF(A66="","",INDEX('Registro Incidencias'!AU$5:AU$200,A66))</f>
        <v/>
      </c>
      <c r="Q66" s="32" t="str">
        <f>IF(A66="","",INDEX('Registro Incidencias'!AV$5:AV$200,A66))</f>
        <v/>
      </c>
      <c r="R66" s="32"/>
      <c r="S66" s="32"/>
    </row>
    <row r="67" spans="1:19" ht="15" customHeight="1" x14ac:dyDescent="0.25">
      <c r="A67" s="25" t="str">
        <f>IFERROR(MATCH(1,INDEX(('Registro Incidencias'!AX$5:AX$200="Juan Manuel"&amp;TEXT('📅 Semana'!B$13,"YYYYMMDD"))*('Registro Incidencias'!AY$5:AY$200=3),),0),"")</f>
        <v/>
      </c>
      <c r="B67" s="62" t="str">
        <f>IF(A67="","",INDEX('Registro Incidencias'!U$5:U$200,A67))</f>
        <v/>
      </c>
      <c r="C67" s="22" t="str">
        <f>IF(A67="","",INDEX('Registro Incidencias'!L$5:L$200,A67))</f>
        <v/>
      </c>
      <c r="D67" s="22" t="str">
        <f>IF(A67="","",INDEX('Registro Incidencias'!A$5:A$200,A67))</f>
        <v/>
      </c>
      <c r="E67" s="22" t="str">
        <f>IF(A67="","",INDEX('Registro Incidencias'!D$5:D$200,A67))</f>
        <v/>
      </c>
      <c r="F67" s="25" t="str">
        <f>IF(A67="","",INDEX('Registro Incidencias'!F$5:F$200,A67))</f>
        <v/>
      </c>
      <c r="G67" s="25" t="str">
        <f>IF(A67="","",INDEX('Registro Incidencias'!G$5:G$200,A67))</f>
        <v/>
      </c>
      <c r="H67" s="25" t="str">
        <f>IF(A67="","",INDEX('Registro Incidencias'!H$5:H$200,A67))</f>
        <v/>
      </c>
      <c r="I67" s="25" t="str">
        <f>IF(A67="","",INDEX('Registro Incidencias'!O$5:O$200,A67))</f>
        <v/>
      </c>
      <c r="J67" s="25" t="str">
        <f>IF(A67="","",INDEX('Registro Incidencias'!R$5:R$200,A67))</f>
        <v/>
      </c>
      <c r="K67" s="25" t="str">
        <f>IF(A67="","",INDEX('Registro Incidencias'!AF$5:AF$200,A67))</f>
        <v/>
      </c>
      <c r="L67" s="28" t="str">
        <f>IF(A67="","",INDEX('Registro Incidencias'!AI$5:AI$200,A67))</f>
        <v/>
      </c>
      <c r="M67" s="22" t="str">
        <f>IF(A67="","",INDEX('Registro Incidencias'!AD$5:AD$200,A67))</f>
        <v/>
      </c>
      <c r="N67" s="25" t="str">
        <f>IF(A67="","",INDEX('Registro Incidencias'!AE$5:AE$200,A67))</f>
        <v/>
      </c>
      <c r="O67" s="22" t="str">
        <f>IF(A67="","",INDEX('Registro Incidencias'!AK$5:AK$200,A67))</f>
        <v/>
      </c>
      <c r="P67" s="63" t="str">
        <f>IF(A67="","",INDEX('Registro Incidencias'!AU$5:AU$200,A67))</f>
        <v/>
      </c>
      <c r="Q67" s="32" t="str">
        <f>IF(A67="","",INDEX('Registro Incidencias'!AV$5:AV$200,A67))</f>
        <v/>
      </c>
      <c r="R67" s="32"/>
      <c r="S67" s="32"/>
    </row>
    <row r="68" spans="1:19" ht="15" customHeight="1" x14ac:dyDescent="0.25">
      <c r="A68" s="36" t="str">
        <f>IFERROR(MATCH(1,INDEX(('Registro Incidencias'!AX$5:AX$200="Juan Manuel"&amp;TEXT('📅 Semana'!B$13,"YYYYMMDD"))*('Registro Incidencias'!AY$5:AY$200=4),),0),"")</f>
        <v/>
      </c>
      <c r="B68" s="64" t="str">
        <f>IF(A68="","",INDEX('Registro Incidencias'!U$5:U$200,A68))</f>
        <v/>
      </c>
      <c r="C68" s="33" t="str">
        <f>IF(A68="","",INDEX('Registro Incidencias'!L$5:L$200,A68))</f>
        <v/>
      </c>
      <c r="D68" s="33" t="str">
        <f>IF(A68="","",INDEX('Registro Incidencias'!A$5:A$200,A68))</f>
        <v/>
      </c>
      <c r="E68" s="33" t="str">
        <f>IF(A68="","",INDEX('Registro Incidencias'!D$5:D$200,A68))</f>
        <v/>
      </c>
      <c r="F68" s="36" t="str">
        <f>IF(A68="","",INDEX('Registro Incidencias'!F$5:F$200,A68))</f>
        <v/>
      </c>
      <c r="G68" s="36" t="str">
        <f>IF(A68="","",INDEX('Registro Incidencias'!G$5:G$200,A68))</f>
        <v/>
      </c>
      <c r="H68" s="36" t="str">
        <f>IF(A68="","",INDEX('Registro Incidencias'!H$5:H$200,A68))</f>
        <v/>
      </c>
      <c r="I68" s="36" t="str">
        <f>IF(A68="","",INDEX('Registro Incidencias'!O$5:O$200,A68))</f>
        <v/>
      </c>
      <c r="J68" s="36" t="str">
        <f>IF(A68="","",INDEX('Registro Incidencias'!R$5:R$200,A68))</f>
        <v/>
      </c>
      <c r="K68" s="36" t="str">
        <f>IF(A68="","",INDEX('Registro Incidencias'!AF$5:AF$200,A68))</f>
        <v/>
      </c>
      <c r="L68" s="39" t="str">
        <f>IF(A68="","",INDEX('Registro Incidencias'!AI$5:AI$200,A68))</f>
        <v/>
      </c>
      <c r="M68" s="33" t="str">
        <f>IF(A68="","",INDEX('Registro Incidencias'!AD$5:AD$200,A68))</f>
        <v/>
      </c>
      <c r="N68" s="36" t="str">
        <f>IF(A68="","",INDEX('Registro Incidencias'!AE$5:AE$200,A68))</f>
        <v/>
      </c>
      <c r="O68" s="33" t="str">
        <f>IF(A68="","",INDEX('Registro Incidencias'!AK$5:AK$200,A68))</f>
        <v/>
      </c>
      <c r="P68" s="63" t="str">
        <f>IF(A68="","",INDEX('Registro Incidencias'!AU$5:AU$200,A68))</f>
        <v/>
      </c>
      <c r="Q68" s="32" t="str">
        <f>IF(A68="","",INDEX('Registro Incidencias'!AV$5:AV$200,A68))</f>
        <v/>
      </c>
      <c r="R68" s="32"/>
      <c r="S68" s="32"/>
    </row>
    <row r="69" spans="1:19" ht="15" customHeight="1" x14ac:dyDescent="0.25">
      <c r="A69" s="25" t="str">
        <f>IFERROR(MATCH(1,INDEX(('Registro Incidencias'!AX$5:AX$200="Juan Manuel"&amp;TEXT('📅 Semana'!B$13,"YYYYMMDD"))*('Registro Incidencias'!AY$5:AY$200=5),),0),"")</f>
        <v/>
      </c>
      <c r="B69" s="62" t="str">
        <f>IF(A69="","",INDEX('Registro Incidencias'!U$5:U$200,A69))</f>
        <v/>
      </c>
      <c r="C69" s="22" t="str">
        <f>IF(A69="","",INDEX('Registro Incidencias'!L$5:L$200,A69))</f>
        <v/>
      </c>
      <c r="D69" s="22" t="str">
        <f>IF(A69="","",INDEX('Registro Incidencias'!A$5:A$200,A69))</f>
        <v/>
      </c>
      <c r="E69" s="22" t="str">
        <f>IF(A69="","",INDEX('Registro Incidencias'!D$5:D$200,A69))</f>
        <v/>
      </c>
      <c r="F69" s="25" t="str">
        <f>IF(A69="","",INDEX('Registro Incidencias'!F$5:F$200,A69))</f>
        <v/>
      </c>
      <c r="G69" s="25" t="str">
        <f>IF(A69="","",INDEX('Registro Incidencias'!G$5:G$200,A69))</f>
        <v/>
      </c>
      <c r="H69" s="25" t="str">
        <f>IF(A69="","",INDEX('Registro Incidencias'!H$5:H$200,A69))</f>
        <v/>
      </c>
      <c r="I69" s="25" t="str">
        <f>IF(A69="","",INDEX('Registro Incidencias'!O$5:O$200,A69))</f>
        <v/>
      </c>
      <c r="J69" s="25" t="str">
        <f>IF(A69="","",INDEX('Registro Incidencias'!R$5:R$200,A69))</f>
        <v/>
      </c>
      <c r="K69" s="25" t="str">
        <f>IF(A69="","",INDEX('Registro Incidencias'!AF$5:AF$200,A69))</f>
        <v/>
      </c>
      <c r="L69" s="28" t="str">
        <f>IF(A69="","",INDEX('Registro Incidencias'!AI$5:AI$200,A69))</f>
        <v/>
      </c>
      <c r="M69" s="22" t="str">
        <f>IF(A69="","",INDEX('Registro Incidencias'!AD$5:AD$200,A69))</f>
        <v/>
      </c>
      <c r="N69" s="25" t="str">
        <f>IF(A69="","",INDEX('Registro Incidencias'!AE$5:AE$200,A69))</f>
        <v/>
      </c>
      <c r="O69" s="22" t="str">
        <f>IF(A69="","",INDEX('Registro Incidencias'!AK$5:AK$200,A69))</f>
        <v/>
      </c>
      <c r="P69" s="63" t="str">
        <f>IF(A69="","",INDEX('Registro Incidencias'!AU$5:AU$200,A69))</f>
        <v/>
      </c>
      <c r="Q69" s="32" t="str">
        <f>IF(A69="","",INDEX('Registro Incidencias'!AV$5:AV$200,A69))</f>
        <v/>
      </c>
      <c r="R69" s="32"/>
      <c r="S69" s="32"/>
    </row>
    <row r="70" spans="1:19" ht="15" customHeight="1" x14ac:dyDescent="0.25">
      <c r="A70" s="36" t="str">
        <f>IFERROR(MATCH(1,INDEX(('Registro Incidencias'!AX$5:AX$200="Juan Manuel"&amp;TEXT('📅 Semana'!B$13,"YYYYMMDD"))*('Registro Incidencias'!AY$5:AY$200=6),),0),"")</f>
        <v/>
      </c>
      <c r="B70" s="64" t="str">
        <f>IF(A70="","",INDEX('Registro Incidencias'!U$5:U$200,A70))</f>
        <v/>
      </c>
      <c r="C70" s="33" t="str">
        <f>IF(A70="","",INDEX('Registro Incidencias'!L$5:L$200,A70))</f>
        <v/>
      </c>
      <c r="D70" s="33" t="str">
        <f>IF(A70="","",INDEX('Registro Incidencias'!A$5:A$200,A70))</f>
        <v/>
      </c>
      <c r="E70" s="33" t="str">
        <f>IF(A70="","",INDEX('Registro Incidencias'!D$5:D$200,A70))</f>
        <v/>
      </c>
      <c r="F70" s="36" t="str">
        <f>IF(A70="","",INDEX('Registro Incidencias'!F$5:F$200,A70))</f>
        <v/>
      </c>
      <c r="G70" s="36" t="str">
        <f>IF(A70="","",INDEX('Registro Incidencias'!G$5:G$200,A70))</f>
        <v/>
      </c>
      <c r="H70" s="36" t="str">
        <f>IF(A70="","",INDEX('Registro Incidencias'!H$5:H$200,A70))</f>
        <v/>
      </c>
      <c r="I70" s="36" t="str">
        <f>IF(A70="","",INDEX('Registro Incidencias'!O$5:O$200,A70))</f>
        <v/>
      </c>
      <c r="J70" s="36" t="str">
        <f>IF(A70="","",INDEX('Registro Incidencias'!R$5:R$200,A70))</f>
        <v/>
      </c>
      <c r="K70" s="36" t="str">
        <f>IF(A70="","",INDEX('Registro Incidencias'!AF$5:AF$200,A70))</f>
        <v/>
      </c>
      <c r="L70" s="39" t="str">
        <f>IF(A70="","",INDEX('Registro Incidencias'!AI$5:AI$200,A70))</f>
        <v/>
      </c>
      <c r="M70" s="33" t="str">
        <f>IF(A70="","",INDEX('Registro Incidencias'!AD$5:AD$200,A70))</f>
        <v/>
      </c>
      <c r="N70" s="36" t="str">
        <f>IF(A70="","",INDEX('Registro Incidencias'!AE$5:AE$200,A70))</f>
        <v/>
      </c>
      <c r="O70" s="33" t="str">
        <f>IF(A70="","",INDEX('Registro Incidencias'!AK$5:AK$200,A70))</f>
        <v/>
      </c>
      <c r="P70" s="63" t="str">
        <f>IF(A70="","",INDEX('Registro Incidencias'!AU$5:AU$200,A70))</f>
        <v/>
      </c>
      <c r="Q70" s="32" t="str">
        <f>IF(A70="","",INDEX('Registro Incidencias'!AV$5:AV$200,A70))</f>
        <v/>
      </c>
      <c r="R70" s="32"/>
      <c r="S70" s="32"/>
    </row>
    <row r="71" spans="1:19" ht="21.75" customHeight="1" x14ac:dyDescent="0.25">
      <c r="A71" s="133" t="str">
        <f>COUNTIFS('Registro Incidencias'!S$5:S$200,"Juan Manuel",'Registro Incidencias'!T$5:T$200,'📅 Semana'!B$13)&amp;" averías"</f>
        <v>0 averías</v>
      </c>
      <c r="B71" s="133"/>
      <c r="C71" s="133"/>
      <c r="D71" s="133"/>
      <c r="E71" s="133"/>
      <c r="F71" s="133"/>
      <c r="G71" s="133"/>
      <c r="H71" s="133"/>
      <c r="I71" s="133"/>
      <c r="J71" s="2" t="str">
        <f>"Verificadas: "&amp;COUNTIFS(A65:A70,"&lt;&gt;",P65:P70,"&lt;&gt;")&amp;"/"&amp;COUNTIF(A65:A70,"&lt;&gt;")</f>
        <v>Verificadas: 6/6</v>
      </c>
      <c r="K71" s="2"/>
      <c r="L71" s="2"/>
      <c r="M71" s="2"/>
      <c r="N71" s="2"/>
      <c r="O71" s="2"/>
      <c r="P71" s="2"/>
    </row>
    <row r="74" spans="1:19" ht="15" customHeight="1" x14ac:dyDescent="0.25">
      <c r="A74" s="7" t="s">
        <v>114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ht="18" customHeight="1" x14ac:dyDescent="0.25">
      <c r="A75" s="134" t="s">
        <v>100</v>
      </c>
      <c r="B75" s="134"/>
      <c r="C75" s="134"/>
      <c r="D75" s="134"/>
      <c r="E75" s="134"/>
      <c r="F75" s="134"/>
      <c r="G75" s="134"/>
      <c r="H75" s="134"/>
      <c r="I75" s="134"/>
      <c r="J75" s="80">
        <f>COUNTIFS('Registro Incidencias'!S$5:S$200,"Juan Manuel",'Registro Incidencias'!T$5:T$200,"&gt;="&amp;'📅 Semana'!B$7,'Registro Incidencias'!T$5:T$200,"&lt;="&amp;'📅 Semana'!B$13)</f>
        <v>0</v>
      </c>
    </row>
    <row r="76" spans="1:19" ht="18" customHeight="1" x14ac:dyDescent="0.25">
      <c r="A76" s="135" t="s">
        <v>101</v>
      </c>
      <c r="B76" s="135"/>
      <c r="C76" s="135"/>
      <c r="D76" s="135"/>
      <c r="E76" s="135"/>
      <c r="F76" s="135"/>
      <c r="G76" s="135"/>
      <c r="H76" s="135"/>
      <c r="I76" s="135"/>
      <c r="J76" s="81">
        <f>COUNTIFS('Registro Incidencias'!S$5:S$200,"Juan Manuel",'Registro Incidencias'!T$5:T$200,"&gt;="&amp;'📅 Semana'!B$7,'Registro Incidencias'!T$5:T$200,"&lt;="&amp;'📅 Semana'!B$13,'Registro Incidencias'!AK$5:AK$200,"*Resuelta*")</f>
        <v>0</v>
      </c>
    </row>
    <row r="77" spans="1:19" ht="18" customHeight="1" x14ac:dyDescent="0.25">
      <c r="A77" s="134" t="s">
        <v>102</v>
      </c>
      <c r="B77" s="134"/>
      <c r="C77" s="134"/>
      <c r="D77" s="134"/>
      <c r="E77" s="134"/>
      <c r="F77" s="134"/>
      <c r="G77" s="134"/>
      <c r="H77" s="134"/>
      <c r="I77" s="134"/>
      <c r="J77" s="80">
        <f>COUNTIFS('Registro Incidencias'!S$5:S$200,"Juan Manuel",'Registro Incidencias'!T$5:T$200,"&gt;="&amp;'📅 Semana'!B$7,'Registro Incidencias'!T$5:T$200,"&lt;="&amp;'📅 Semana'!B$13,'Registro Incidencias'!AK$5:AK$200,"*No resuelta*")</f>
        <v>0</v>
      </c>
    </row>
    <row r="78" spans="1:19" ht="18" customHeight="1" x14ac:dyDescent="0.25">
      <c r="A78" s="135" t="s">
        <v>103</v>
      </c>
      <c r="B78" s="135"/>
      <c r="C78" s="135"/>
      <c r="D78" s="135"/>
      <c r="E78" s="135"/>
      <c r="F78" s="135"/>
      <c r="G78" s="135"/>
      <c r="H78" s="135"/>
      <c r="I78" s="135"/>
      <c r="J78" s="81">
        <f>COUNTIFS('Registro Incidencias'!S$5:S$200,"Juan Manuel",'Registro Incidencias'!T$5:T$200,"&gt;="&amp;'📅 Semana'!B$7,'Registro Incidencias'!T$5:T$200,"&lt;="&amp;'📅 Semana'!B$13,'Registro Incidencias'!AK$5:AK$200,"*Pospuesta*")</f>
        <v>0</v>
      </c>
    </row>
    <row r="79" spans="1:19" ht="18" customHeight="1" x14ac:dyDescent="0.25">
      <c r="A79" s="134" t="s">
        <v>104</v>
      </c>
      <c r="B79" s="134"/>
      <c r="C79" s="134"/>
      <c r="D79" s="134"/>
      <c r="E79" s="134"/>
      <c r="F79" s="134"/>
      <c r="G79" s="134"/>
      <c r="H79" s="134"/>
      <c r="I79" s="134"/>
      <c r="J79" s="80">
        <f>COUNTIFS('Registro Incidencias'!S$5:S$200,"Juan Manuel",'Registro Incidencias'!T$5:T$200,"&gt;="&amp;'📅 Semana'!B$7,'Registro Incidencias'!T$5:T$200,"&lt;="&amp;'📅 Semana'!B$13,'Registro Incidencias'!AD$5:AD$200,"&gt;1")</f>
        <v>0</v>
      </c>
    </row>
    <row r="80" spans="1:19" ht="18" customHeight="1" x14ac:dyDescent="0.25">
      <c r="A80" s="135" t="s">
        <v>105</v>
      </c>
      <c r="B80" s="135"/>
      <c r="C80" s="135"/>
      <c r="D80" s="135"/>
      <c r="E80" s="135"/>
      <c r="F80" s="135"/>
      <c r="G80" s="135"/>
      <c r="H80" s="135"/>
      <c r="I80" s="135"/>
      <c r="J80" s="81">
        <f>COUNTIFS('Registro Incidencias'!S$5:S$200,"Juan Manuel",'Registro Incidencias'!T$5:T$200,"&gt;="&amp;'📅 Semana'!B$7,'Registro Incidencias'!T$5:T$200,"&lt;="&amp;'📅 Semana'!B$13,'Registro Incidencias'!AE$5:AE$200,"Fallo del técnico")</f>
        <v>0</v>
      </c>
    </row>
    <row r="81" spans="1:10" ht="18" customHeight="1" x14ac:dyDescent="0.25">
      <c r="A81" s="134" t="s">
        <v>106</v>
      </c>
      <c r="B81" s="134"/>
      <c r="C81" s="134"/>
      <c r="D81" s="134"/>
      <c r="E81" s="134"/>
      <c r="F81" s="134"/>
      <c r="G81" s="134"/>
      <c r="H81" s="134"/>
      <c r="I81" s="134"/>
      <c r="J81" s="80">
        <f>COUNTIFS('Registro Incidencias'!S$5:S$200,"Juan Manuel",'Registro Incidencias'!T$5:T$200,"&gt;="&amp;'📅 Semana'!B$7,'Registro Incidencias'!T$5:T$200,"&lt;="&amp;'📅 Semana'!B$13,'Registro Incidencias'!AE$5:AE$200,"Falta de material")</f>
        <v>0</v>
      </c>
    </row>
    <row r="82" spans="1:10" ht="18" customHeight="1" x14ac:dyDescent="0.25">
      <c r="A82" s="135" t="s">
        <v>107</v>
      </c>
      <c r="B82" s="135"/>
      <c r="C82" s="135"/>
      <c r="D82" s="135"/>
      <c r="E82" s="135"/>
      <c r="F82" s="135"/>
      <c r="G82" s="135"/>
      <c r="H82" s="135"/>
      <c r="I82" s="135"/>
      <c r="J82" s="82">
        <f>SUMIFS('Registro Incidencias'!AS$5:AS$200,'Registro Incidencias'!S$5:S$200,"Juan Manuel",'Registro Incidencias'!T$5:T$200,"&gt;="&amp;'📅 Semana'!B$7,'Registro Incidencias'!T$5:T$200,"&lt;="&amp;'📅 Semana'!B$13)</f>
        <v>0</v>
      </c>
    </row>
    <row r="83" spans="1:10" ht="18" customHeight="1" x14ac:dyDescent="0.25">
      <c r="A83" s="134" t="s">
        <v>108</v>
      </c>
      <c r="B83" s="134"/>
      <c r="C83" s="134"/>
      <c r="D83" s="134"/>
      <c r="E83" s="134"/>
      <c r="F83" s="134"/>
      <c r="G83" s="134"/>
      <c r="H83" s="134"/>
      <c r="I83" s="134"/>
      <c r="J83" s="80">
        <f>SUMIFS('Registro Incidencias'!X$5:X$200,'Registro Incidencias'!S$5:S$200,"Juan Manuel",'Registro Incidencias'!T$5:T$200,"&gt;="&amp;'📅 Semana'!B$7,'Registro Incidencias'!T$5:T$200,"&lt;="&amp;'📅 Semana'!B$13)</f>
        <v>0</v>
      </c>
    </row>
  </sheetData>
  <mergeCells count="33">
    <mergeCell ref="A79:I79"/>
    <mergeCell ref="A80:I80"/>
    <mergeCell ref="A81:I81"/>
    <mergeCell ref="A82:I82"/>
    <mergeCell ref="A83:I83"/>
    <mergeCell ref="A74:S74"/>
    <mergeCell ref="A75:I75"/>
    <mergeCell ref="A76:I76"/>
    <mergeCell ref="A77:I77"/>
    <mergeCell ref="A78:I78"/>
    <mergeCell ref="A53:S53"/>
    <mergeCell ref="A61:I61"/>
    <mergeCell ref="J61:P61"/>
    <mergeCell ref="A63:S63"/>
    <mergeCell ref="A71:I71"/>
    <mergeCell ref="J71:P71"/>
    <mergeCell ref="A33:S33"/>
    <mergeCell ref="A41:I41"/>
    <mergeCell ref="J41:P41"/>
    <mergeCell ref="A43:S43"/>
    <mergeCell ref="A51:I51"/>
    <mergeCell ref="J51:P51"/>
    <mergeCell ref="A13:S13"/>
    <mergeCell ref="A21:I21"/>
    <mergeCell ref="J21:P21"/>
    <mergeCell ref="A23:S23"/>
    <mergeCell ref="A31:I31"/>
    <mergeCell ref="J31:P31"/>
    <mergeCell ref="A1:S1"/>
    <mergeCell ref="A2:S2"/>
    <mergeCell ref="A3:S3"/>
    <mergeCell ref="A11:I11"/>
    <mergeCell ref="J11:P11"/>
  </mergeCells>
  <conditionalFormatting sqref="A5:R73">
    <cfRule type="expression" dxfId="15" priority="6">
      <formula>OR(ISNUMBER(SEARCH("Resuelta",$O5)),ISNUMBER(SEARCH("Cerrada",$O5)))</formula>
    </cfRule>
    <cfRule type="expression" dxfId="14" priority="7">
      <formula>OR(ISNUMBER(SEARCH("Pospuesta",$O5)),ISNUMBER(SEARCH("Espera",$O5)))</formula>
    </cfRule>
    <cfRule type="expression" dxfId="13" priority="8">
      <formula>ISNUMBER(SEARCH("No resuelta",$O5))</formula>
    </cfRule>
  </conditionalFormatting>
  <conditionalFormatting sqref="C5:C73">
    <cfRule type="expression" dxfId="12" priority="2">
      <formula>NOT(ISERROR(SEARCH("CRÍTICA",C5)))</formula>
    </cfRule>
    <cfRule type="expression" dxfId="11" priority="3">
      <formula>NOT(ISERROR(SEARCH("ALTA",C5)))</formula>
    </cfRule>
    <cfRule type="expression" dxfId="10" priority="4">
      <formula>NOT(ISERROR(SEARCH("MEDIA",C5)))</formula>
    </cfRule>
    <cfRule type="expression" dxfId="9" priority="5">
      <formula>NOT(ISERROR(SEARCH("BAJA",C5)))</formula>
    </cfRule>
  </conditionalFormatting>
  <conditionalFormatting sqref="P5:P73">
    <cfRule type="expression" dxfId="8" priority="9">
      <formula>P5&lt;&gt;""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980B9"/>
  </sheetPr>
  <dimension ref="A1:S83"/>
  <sheetViews>
    <sheetView zoomScaleNormal="100" workbookViewId="0">
      <pane ySplit="2" topLeftCell="A3" activePane="bottomLeft" state="frozen"/>
      <selection pane="bottomLeft" sqref="A1:S1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11" customWidth="1"/>
    <col min="4" max="4" width="12" customWidth="1"/>
    <col min="5" max="5" width="10" customWidth="1"/>
    <col min="6" max="6" width="22" customWidth="1"/>
    <col min="7" max="7" width="24" customWidth="1"/>
    <col min="8" max="8" width="13" customWidth="1"/>
    <col min="9" max="9" width="14" customWidth="1"/>
    <col min="10" max="10" width="24" customWidth="1"/>
    <col min="11" max="11" width="22" customWidth="1"/>
    <col min="12" max="12" width="10" customWidth="1"/>
    <col min="13" max="13" width="7" customWidth="1"/>
    <col min="14" max="14" width="20" customWidth="1"/>
    <col min="15" max="15" width="13" customWidth="1"/>
    <col min="16" max="16" width="28" customWidth="1"/>
    <col min="17" max="17" width="14" customWidth="1"/>
    <col min="18" max="18" width="16" customWidth="1"/>
    <col min="19" max="19" width="18" customWidth="1"/>
  </cols>
  <sheetData>
    <row r="1" spans="1:19" ht="42" customHeight="1" x14ac:dyDescent="0.25">
      <c r="A1" s="139" t="s">
        <v>115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</row>
    <row r="2" spans="1:19" ht="25.5" customHeight="1" x14ac:dyDescent="0.25">
      <c r="A2" s="13" t="s">
        <v>84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30" customHeight="1" x14ac:dyDescent="0.25">
      <c r="A3" s="4" t="str">
        <f>TEXT('📅 Semana'!B$7,"DDDD")&amp;"  —  "&amp;TEXT('📅 Semana'!B$7,"DD/MM/")&amp;"2026"</f>
        <v>lunes  —  16/02/2026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30" customHeight="1" x14ac:dyDescent="0.25">
      <c r="A4" s="60" t="s">
        <v>85</v>
      </c>
      <c r="B4" s="60" t="s">
        <v>86</v>
      </c>
      <c r="C4" s="60" t="s">
        <v>18</v>
      </c>
      <c r="D4" s="60" t="s">
        <v>87</v>
      </c>
      <c r="E4" s="60" t="s">
        <v>88</v>
      </c>
      <c r="F4" s="60" t="s">
        <v>89</v>
      </c>
      <c r="G4" s="60" t="s">
        <v>13</v>
      </c>
      <c r="H4" s="60" t="s">
        <v>14</v>
      </c>
      <c r="I4" s="60" t="s">
        <v>90</v>
      </c>
      <c r="J4" s="60" t="s">
        <v>91</v>
      </c>
      <c r="K4" s="60" t="s">
        <v>92</v>
      </c>
      <c r="L4" s="60" t="s">
        <v>93</v>
      </c>
      <c r="M4" s="60" t="s">
        <v>94</v>
      </c>
      <c r="N4" s="60" t="s">
        <v>37</v>
      </c>
      <c r="O4" s="60" t="s">
        <v>43</v>
      </c>
      <c r="P4" s="61" t="s">
        <v>95</v>
      </c>
      <c r="Q4" s="61" t="s">
        <v>96</v>
      </c>
      <c r="R4" s="61" t="s">
        <v>97</v>
      </c>
      <c r="S4" s="61" t="s">
        <v>98</v>
      </c>
    </row>
    <row r="5" spans="1:19" ht="15" customHeight="1" x14ac:dyDescent="0.25">
      <c r="A5" s="25" t="str">
        <f>IFERROR(MATCH(1,INDEX(('Registro Incidencias'!AX$5:AX$200="Adrián"&amp;TEXT('📅 Semana'!B$7,"YYYYMMDD"))*('Registro Incidencias'!AY$5:AY$200=1),),0),"")</f>
        <v/>
      </c>
      <c r="B5" s="62" t="str">
        <f>IF(A5="","",INDEX('Registro Incidencias'!U$5:U$200,A5))</f>
        <v/>
      </c>
      <c r="C5" s="22" t="str">
        <f>IF(A5="","",INDEX('Registro Incidencias'!L$5:L$200,A5))</f>
        <v/>
      </c>
      <c r="D5" s="22" t="str">
        <f>IF(A5="","",INDEX('Registro Incidencias'!A$5:A$200,A5))</f>
        <v/>
      </c>
      <c r="E5" s="22" t="str">
        <f>IF(A5="","",INDEX('Registro Incidencias'!D$5:D$200,A5))</f>
        <v/>
      </c>
      <c r="F5" s="25" t="str">
        <f>IF(A5="","",INDEX('Registro Incidencias'!F$5:F$200,A5))</f>
        <v/>
      </c>
      <c r="G5" s="25" t="str">
        <f>IF(A5="","",INDEX('Registro Incidencias'!G$5:G$200,A5))</f>
        <v/>
      </c>
      <c r="H5" s="25" t="str">
        <f>IF(A5="","",INDEX('Registro Incidencias'!H$5:H$200,A5))</f>
        <v/>
      </c>
      <c r="I5" s="25" t="str">
        <f>IF(A5="","",INDEX('Registro Incidencias'!O$5:O$200,A5))</f>
        <v/>
      </c>
      <c r="J5" s="25" t="str">
        <f>IF(A5="","",INDEX('Registro Incidencias'!R$5:R$200,A5))</f>
        <v/>
      </c>
      <c r="K5" s="25" t="str">
        <f>IF(A5="","",INDEX('Registro Incidencias'!AF$5:AF$200,A5))</f>
        <v/>
      </c>
      <c r="L5" s="28" t="str">
        <f>IF(A5="","",INDEX('Registro Incidencias'!AI$5:AI$200,A5))</f>
        <v/>
      </c>
      <c r="M5" s="22" t="str">
        <f>IF(A5="","",INDEX('Registro Incidencias'!AD$5:AD$200,A5))</f>
        <v/>
      </c>
      <c r="N5" s="25" t="str">
        <f>IF(A5="","",INDEX('Registro Incidencias'!AE$5:AE$200,A5))</f>
        <v/>
      </c>
      <c r="O5" s="22" t="str">
        <f>IF(A5="","",INDEX('Registro Incidencias'!AK$5:AK$200,A5))</f>
        <v/>
      </c>
      <c r="P5" s="63" t="str">
        <f>IF(A5="","",INDEX('Registro Incidencias'!AU$5:AU$200,A5))</f>
        <v/>
      </c>
      <c r="Q5" s="32" t="str">
        <f>IF(A5="","",INDEX('Registro Incidencias'!AV$5:AV$200,A5))</f>
        <v/>
      </c>
      <c r="R5" s="32"/>
      <c r="S5" s="32"/>
    </row>
    <row r="6" spans="1:19" ht="15" customHeight="1" x14ac:dyDescent="0.25">
      <c r="A6" s="36" t="str">
        <f>IFERROR(MATCH(1,INDEX(('Registro Incidencias'!AX$5:AX$200="Adrián"&amp;TEXT('📅 Semana'!B$7,"YYYYMMDD"))*('Registro Incidencias'!AY$5:AY$200=2),),0),"")</f>
        <v/>
      </c>
      <c r="B6" s="64" t="str">
        <f>IF(A6="","",INDEX('Registro Incidencias'!U$5:U$200,A6))</f>
        <v/>
      </c>
      <c r="C6" s="33" t="str">
        <f>IF(A6="","",INDEX('Registro Incidencias'!L$5:L$200,A6))</f>
        <v/>
      </c>
      <c r="D6" s="33" t="str">
        <f>IF(A6="","",INDEX('Registro Incidencias'!A$5:A$200,A6))</f>
        <v/>
      </c>
      <c r="E6" s="33" t="str">
        <f>IF(A6="","",INDEX('Registro Incidencias'!D$5:D$200,A6))</f>
        <v/>
      </c>
      <c r="F6" s="36" t="str">
        <f>IF(A6="","",INDEX('Registro Incidencias'!F$5:F$200,A6))</f>
        <v/>
      </c>
      <c r="G6" s="36" t="str">
        <f>IF(A6="","",INDEX('Registro Incidencias'!G$5:G$200,A6))</f>
        <v/>
      </c>
      <c r="H6" s="36" t="str">
        <f>IF(A6="","",INDEX('Registro Incidencias'!H$5:H$200,A6))</f>
        <v/>
      </c>
      <c r="I6" s="36" t="str">
        <f>IF(A6="","",INDEX('Registro Incidencias'!O$5:O$200,A6))</f>
        <v/>
      </c>
      <c r="J6" s="36" t="str">
        <f>IF(A6="","",INDEX('Registro Incidencias'!R$5:R$200,A6))</f>
        <v/>
      </c>
      <c r="K6" s="36" t="str">
        <f>IF(A6="","",INDEX('Registro Incidencias'!AF$5:AF$200,A6))</f>
        <v/>
      </c>
      <c r="L6" s="39" t="str">
        <f>IF(A6="","",INDEX('Registro Incidencias'!AI$5:AI$200,A6))</f>
        <v/>
      </c>
      <c r="M6" s="33" t="str">
        <f>IF(A6="","",INDEX('Registro Incidencias'!AD$5:AD$200,A6))</f>
        <v/>
      </c>
      <c r="N6" s="36" t="str">
        <f>IF(A6="","",INDEX('Registro Incidencias'!AE$5:AE$200,A6))</f>
        <v/>
      </c>
      <c r="O6" s="33" t="str">
        <f>IF(A6="","",INDEX('Registro Incidencias'!AK$5:AK$200,A6))</f>
        <v/>
      </c>
      <c r="P6" s="63" t="str">
        <f>IF(A6="","",INDEX('Registro Incidencias'!AU$5:AU$200,A6))</f>
        <v/>
      </c>
      <c r="Q6" s="32" t="str">
        <f>IF(A6="","",INDEX('Registro Incidencias'!AV$5:AV$200,A6))</f>
        <v/>
      </c>
      <c r="R6" s="32"/>
      <c r="S6" s="32"/>
    </row>
    <row r="7" spans="1:19" ht="15" customHeight="1" x14ac:dyDescent="0.25">
      <c r="A7" s="25" t="str">
        <f>IFERROR(MATCH(1,INDEX(('Registro Incidencias'!AX$5:AX$200="Adrián"&amp;TEXT('📅 Semana'!B$7,"YYYYMMDD"))*('Registro Incidencias'!AY$5:AY$200=3),),0),"")</f>
        <v/>
      </c>
      <c r="B7" s="62" t="str">
        <f>IF(A7="","",INDEX('Registro Incidencias'!U$5:U$200,A7))</f>
        <v/>
      </c>
      <c r="C7" s="22" t="str">
        <f>IF(A7="","",INDEX('Registro Incidencias'!L$5:L$200,A7))</f>
        <v/>
      </c>
      <c r="D7" s="22" t="str">
        <f>IF(A7="","",INDEX('Registro Incidencias'!A$5:A$200,A7))</f>
        <v/>
      </c>
      <c r="E7" s="22" t="str">
        <f>IF(A7="","",INDEX('Registro Incidencias'!D$5:D$200,A7))</f>
        <v/>
      </c>
      <c r="F7" s="25" t="str">
        <f>IF(A7="","",INDEX('Registro Incidencias'!F$5:F$200,A7))</f>
        <v/>
      </c>
      <c r="G7" s="25" t="str">
        <f>IF(A7="","",INDEX('Registro Incidencias'!G$5:G$200,A7))</f>
        <v/>
      </c>
      <c r="H7" s="25" t="str">
        <f>IF(A7="","",INDEX('Registro Incidencias'!H$5:H$200,A7))</f>
        <v/>
      </c>
      <c r="I7" s="25" t="str">
        <f>IF(A7="","",INDEX('Registro Incidencias'!O$5:O$200,A7))</f>
        <v/>
      </c>
      <c r="J7" s="25" t="str">
        <f>IF(A7="","",INDEX('Registro Incidencias'!R$5:R$200,A7))</f>
        <v/>
      </c>
      <c r="K7" s="25" t="str">
        <f>IF(A7="","",INDEX('Registro Incidencias'!AF$5:AF$200,A7))</f>
        <v/>
      </c>
      <c r="L7" s="28" t="str">
        <f>IF(A7="","",INDEX('Registro Incidencias'!AI$5:AI$200,A7))</f>
        <v/>
      </c>
      <c r="M7" s="22" t="str">
        <f>IF(A7="","",INDEX('Registro Incidencias'!AD$5:AD$200,A7))</f>
        <v/>
      </c>
      <c r="N7" s="25" t="str">
        <f>IF(A7="","",INDEX('Registro Incidencias'!AE$5:AE$200,A7))</f>
        <v/>
      </c>
      <c r="O7" s="22" t="str">
        <f>IF(A7="","",INDEX('Registro Incidencias'!AK$5:AK$200,A7))</f>
        <v/>
      </c>
      <c r="P7" s="63" t="str">
        <f>IF(A7="","",INDEX('Registro Incidencias'!AU$5:AU$200,A7))</f>
        <v/>
      </c>
      <c r="Q7" s="32" t="str">
        <f>IF(A7="","",INDEX('Registro Incidencias'!AV$5:AV$200,A7))</f>
        <v/>
      </c>
      <c r="R7" s="32"/>
      <c r="S7" s="32"/>
    </row>
    <row r="8" spans="1:19" ht="15" customHeight="1" x14ac:dyDescent="0.25">
      <c r="A8" s="36" t="str">
        <f>IFERROR(MATCH(1,INDEX(('Registro Incidencias'!AX$5:AX$200="Adrián"&amp;TEXT('📅 Semana'!B$7,"YYYYMMDD"))*('Registro Incidencias'!AY$5:AY$200=4),),0),"")</f>
        <v/>
      </c>
      <c r="B8" s="64" t="str">
        <f>IF(A8="","",INDEX('Registro Incidencias'!U$5:U$200,A8))</f>
        <v/>
      </c>
      <c r="C8" s="33" t="str">
        <f>IF(A8="","",INDEX('Registro Incidencias'!L$5:L$200,A8))</f>
        <v/>
      </c>
      <c r="D8" s="33" t="str">
        <f>IF(A8="","",INDEX('Registro Incidencias'!A$5:A$200,A8))</f>
        <v/>
      </c>
      <c r="E8" s="33" t="str">
        <f>IF(A8="","",INDEX('Registro Incidencias'!D$5:D$200,A8))</f>
        <v/>
      </c>
      <c r="F8" s="36" t="str">
        <f>IF(A8="","",INDEX('Registro Incidencias'!F$5:F$200,A8))</f>
        <v/>
      </c>
      <c r="G8" s="36" t="str">
        <f>IF(A8="","",INDEX('Registro Incidencias'!G$5:G$200,A8))</f>
        <v/>
      </c>
      <c r="H8" s="36" t="str">
        <f>IF(A8="","",INDEX('Registro Incidencias'!H$5:H$200,A8))</f>
        <v/>
      </c>
      <c r="I8" s="36" t="str">
        <f>IF(A8="","",INDEX('Registro Incidencias'!O$5:O$200,A8))</f>
        <v/>
      </c>
      <c r="J8" s="36" t="str">
        <f>IF(A8="","",INDEX('Registro Incidencias'!R$5:R$200,A8))</f>
        <v/>
      </c>
      <c r="K8" s="36" t="str">
        <f>IF(A8="","",INDEX('Registro Incidencias'!AF$5:AF$200,A8))</f>
        <v/>
      </c>
      <c r="L8" s="39" t="str">
        <f>IF(A8="","",INDEX('Registro Incidencias'!AI$5:AI$200,A8))</f>
        <v/>
      </c>
      <c r="M8" s="33" t="str">
        <f>IF(A8="","",INDEX('Registro Incidencias'!AD$5:AD$200,A8))</f>
        <v/>
      </c>
      <c r="N8" s="36" t="str">
        <f>IF(A8="","",INDEX('Registro Incidencias'!AE$5:AE$200,A8))</f>
        <v/>
      </c>
      <c r="O8" s="33" t="str">
        <f>IF(A8="","",INDEX('Registro Incidencias'!AK$5:AK$200,A8))</f>
        <v/>
      </c>
      <c r="P8" s="63" t="str">
        <f>IF(A8="","",INDEX('Registro Incidencias'!AU$5:AU$200,A8))</f>
        <v/>
      </c>
      <c r="Q8" s="32" t="str">
        <f>IF(A8="","",INDEX('Registro Incidencias'!AV$5:AV$200,A8))</f>
        <v/>
      </c>
      <c r="R8" s="32"/>
      <c r="S8" s="32"/>
    </row>
    <row r="9" spans="1:19" ht="15" customHeight="1" x14ac:dyDescent="0.25">
      <c r="A9" s="25" t="str">
        <f>IFERROR(MATCH(1,INDEX(('Registro Incidencias'!AX$5:AX$200="Adrián"&amp;TEXT('📅 Semana'!B$7,"YYYYMMDD"))*('Registro Incidencias'!AY$5:AY$200=5),),0),"")</f>
        <v/>
      </c>
      <c r="B9" s="62" t="str">
        <f>IF(A9="","",INDEX('Registro Incidencias'!U$5:U$200,A9))</f>
        <v/>
      </c>
      <c r="C9" s="22" t="str">
        <f>IF(A9="","",INDEX('Registro Incidencias'!L$5:L$200,A9))</f>
        <v/>
      </c>
      <c r="D9" s="22" t="str">
        <f>IF(A9="","",INDEX('Registro Incidencias'!A$5:A$200,A9))</f>
        <v/>
      </c>
      <c r="E9" s="22" t="str">
        <f>IF(A9="","",INDEX('Registro Incidencias'!D$5:D$200,A9))</f>
        <v/>
      </c>
      <c r="F9" s="25" t="str">
        <f>IF(A9="","",INDEX('Registro Incidencias'!F$5:F$200,A9))</f>
        <v/>
      </c>
      <c r="G9" s="25" t="str">
        <f>IF(A9="","",INDEX('Registro Incidencias'!G$5:G$200,A9))</f>
        <v/>
      </c>
      <c r="H9" s="25" t="str">
        <f>IF(A9="","",INDEX('Registro Incidencias'!H$5:H$200,A9))</f>
        <v/>
      </c>
      <c r="I9" s="25" t="str">
        <f>IF(A9="","",INDEX('Registro Incidencias'!O$5:O$200,A9))</f>
        <v/>
      </c>
      <c r="J9" s="25" t="str">
        <f>IF(A9="","",INDEX('Registro Incidencias'!R$5:R$200,A9))</f>
        <v/>
      </c>
      <c r="K9" s="25" t="str">
        <f>IF(A9="","",INDEX('Registro Incidencias'!AF$5:AF$200,A9))</f>
        <v/>
      </c>
      <c r="L9" s="28" t="str">
        <f>IF(A9="","",INDEX('Registro Incidencias'!AI$5:AI$200,A9))</f>
        <v/>
      </c>
      <c r="M9" s="22" t="str">
        <f>IF(A9="","",INDEX('Registro Incidencias'!AD$5:AD$200,A9))</f>
        <v/>
      </c>
      <c r="N9" s="25" t="str">
        <f>IF(A9="","",INDEX('Registro Incidencias'!AE$5:AE$200,A9))</f>
        <v/>
      </c>
      <c r="O9" s="22" t="str">
        <f>IF(A9="","",INDEX('Registro Incidencias'!AK$5:AK$200,A9))</f>
        <v/>
      </c>
      <c r="P9" s="63" t="str">
        <f>IF(A9="","",INDEX('Registro Incidencias'!AU$5:AU$200,A9))</f>
        <v/>
      </c>
      <c r="Q9" s="32" t="str">
        <f>IF(A9="","",INDEX('Registro Incidencias'!AV$5:AV$200,A9))</f>
        <v/>
      </c>
      <c r="R9" s="32"/>
      <c r="S9" s="32"/>
    </row>
    <row r="10" spans="1:19" ht="15" customHeight="1" x14ac:dyDescent="0.25">
      <c r="A10" s="36" t="str">
        <f>IFERROR(MATCH(1,INDEX(('Registro Incidencias'!AX$5:AX$200="Adrián"&amp;TEXT('📅 Semana'!B$7,"YYYYMMDD"))*('Registro Incidencias'!AY$5:AY$200=6),),0),"")</f>
        <v/>
      </c>
      <c r="B10" s="64" t="str">
        <f>IF(A10="","",INDEX('Registro Incidencias'!U$5:U$200,A10))</f>
        <v/>
      </c>
      <c r="C10" s="33" t="str">
        <f>IF(A10="","",INDEX('Registro Incidencias'!L$5:L$200,A10))</f>
        <v/>
      </c>
      <c r="D10" s="33" t="str">
        <f>IF(A10="","",INDEX('Registro Incidencias'!A$5:A$200,A10))</f>
        <v/>
      </c>
      <c r="E10" s="33" t="str">
        <f>IF(A10="","",INDEX('Registro Incidencias'!D$5:D$200,A10))</f>
        <v/>
      </c>
      <c r="F10" s="36" t="str">
        <f>IF(A10="","",INDEX('Registro Incidencias'!F$5:F$200,A10))</f>
        <v/>
      </c>
      <c r="G10" s="36" t="str">
        <f>IF(A10="","",INDEX('Registro Incidencias'!G$5:G$200,A10))</f>
        <v/>
      </c>
      <c r="H10" s="36" t="str">
        <f>IF(A10="","",INDEX('Registro Incidencias'!H$5:H$200,A10))</f>
        <v/>
      </c>
      <c r="I10" s="36" t="str">
        <f>IF(A10="","",INDEX('Registro Incidencias'!O$5:O$200,A10))</f>
        <v/>
      </c>
      <c r="J10" s="36" t="str">
        <f>IF(A10="","",INDEX('Registro Incidencias'!R$5:R$200,A10))</f>
        <v/>
      </c>
      <c r="K10" s="36" t="str">
        <f>IF(A10="","",INDEX('Registro Incidencias'!AF$5:AF$200,A10))</f>
        <v/>
      </c>
      <c r="L10" s="39" t="str">
        <f>IF(A10="","",INDEX('Registro Incidencias'!AI$5:AI$200,A10))</f>
        <v/>
      </c>
      <c r="M10" s="33" t="str">
        <f>IF(A10="","",INDEX('Registro Incidencias'!AD$5:AD$200,A10))</f>
        <v/>
      </c>
      <c r="N10" s="36" t="str">
        <f>IF(A10="","",INDEX('Registro Incidencias'!AE$5:AE$200,A10))</f>
        <v/>
      </c>
      <c r="O10" s="33" t="str">
        <f>IF(A10="","",INDEX('Registro Incidencias'!AK$5:AK$200,A10))</f>
        <v/>
      </c>
      <c r="P10" s="63" t="str">
        <f>IF(A10="","",INDEX('Registro Incidencias'!AU$5:AU$200,A10))</f>
        <v/>
      </c>
      <c r="Q10" s="32" t="str">
        <f>IF(A10="","",INDEX('Registro Incidencias'!AV$5:AV$200,A10))</f>
        <v/>
      </c>
      <c r="R10" s="32"/>
      <c r="S10" s="32"/>
    </row>
    <row r="11" spans="1:19" ht="21.75" customHeight="1" x14ac:dyDescent="0.25">
      <c r="A11" s="3" t="str">
        <f>COUNTIFS('Registro Incidencias'!S$5:S$200,"Adrián",'Registro Incidencias'!T$5:T$200,'📅 Semana'!B$7)&amp;" averías"</f>
        <v>0 averías</v>
      </c>
      <c r="B11" s="3"/>
      <c r="C11" s="3"/>
      <c r="D11" s="3"/>
      <c r="E11" s="3"/>
      <c r="F11" s="3"/>
      <c r="G11" s="3"/>
      <c r="H11" s="3"/>
      <c r="I11" s="3"/>
      <c r="J11" s="2" t="str">
        <f>"Verificadas: "&amp;COUNTIFS(A5:A10,"&lt;&gt;",P5:P10,"&lt;&gt;")&amp;"/"&amp;COUNTIF(A5:A10,"&lt;&gt;")</f>
        <v>Verificadas: 6/6</v>
      </c>
      <c r="K11" s="2"/>
      <c r="L11" s="2"/>
      <c r="M11" s="2"/>
      <c r="N11" s="2"/>
      <c r="O11" s="2"/>
      <c r="P11" s="2"/>
    </row>
    <row r="13" spans="1:19" ht="30" customHeight="1" x14ac:dyDescent="0.25">
      <c r="A13" s="1" t="str">
        <f>TEXT('📅 Semana'!B$8,"DDDD")&amp;"  —  "&amp;TEXT('📅 Semana'!B$8,"DD/MM/")&amp;"2026"</f>
        <v>martes  —  17/02/2026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0" customHeight="1" x14ac:dyDescent="0.25">
      <c r="A14" s="65" t="s">
        <v>85</v>
      </c>
      <c r="B14" s="65" t="s">
        <v>86</v>
      </c>
      <c r="C14" s="65" t="s">
        <v>18</v>
      </c>
      <c r="D14" s="65" t="s">
        <v>87</v>
      </c>
      <c r="E14" s="65" t="s">
        <v>88</v>
      </c>
      <c r="F14" s="65" t="s">
        <v>89</v>
      </c>
      <c r="G14" s="65" t="s">
        <v>13</v>
      </c>
      <c r="H14" s="65" t="s">
        <v>14</v>
      </c>
      <c r="I14" s="65" t="s">
        <v>90</v>
      </c>
      <c r="J14" s="65" t="s">
        <v>91</v>
      </c>
      <c r="K14" s="65" t="s">
        <v>92</v>
      </c>
      <c r="L14" s="65" t="s">
        <v>93</v>
      </c>
      <c r="M14" s="65" t="s">
        <v>94</v>
      </c>
      <c r="N14" s="65" t="s">
        <v>37</v>
      </c>
      <c r="O14" s="65" t="s">
        <v>43</v>
      </c>
      <c r="P14" s="61" t="s">
        <v>95</v>
      </c>
      <c r="Q14" s="61" t="s">
        <v>96</v>
      </c>
      <c r="R14" s="61" t="s">
        <v>97</v>
      </c>
      <c r="S14" s="61" t="s">
        <v>98</v>
      </c>
    </row>
    <row r="15" spans="1:19" ht="15" customHeight="1" x14ac:dyDescent="0.25">
      <c r="A15" s="25" t="str">
        <f>IFERROR(MATCH(1,INDEX(('Registro Incidencias'!AX$5:AX$200="Adrián"&amp;TEXT('📅 Semana'!B$8,"YYYYMMDD"))*('Registro Incidencias'!AY$5:AY$200=1),),0),"")</f>
        <v/>
      </c>
      <c r="B15" s="62" t="str">
        <f>IF(A15="","",INDEX('Registro Incidencias'!U$5:U$200,A15))</f>
        <v/>
      </c>
      <c r="C15" s="22" t="str">
        <f>IF(A15="","",INDEX('Registro Incidencias'!L$5:L$200,A15))</f>
        <v/>
      </c>
      <c r="D15" s="22" t="str">
        <f>IF(A15="","",INDEX('Registro Incidencias'!A$5:A$200,A15))</f>
        <v/>
      </c>
      <c r="E15" s="22" t="str">
        <f>IF(A15="","",INDEX('Registro Incidencias'!D$5:D$200,A15))</f>
        <v/>
      </c>
      <c r="F15" s="25" t="str">
        <f>IF(A15="","",INDEX('Registro Incidencias'!F$5:F$200,A15))</f>
        <v/>
      </c>
      <c r="G15" s="25" t="str">
        <f>IF(A15="","",INDEX('Registro Incidencias'!G$5:G$200,A15))</f>
        <v/>
      </c>
      <c r="H15" s="25" t="str">
        <f>IF(A15="","",INDEX('Registro Incidencias'!H$5:H$200,A15))</f>
        <v/>
      </c>
      <c r="I15" s="25" t="str">
        <f>IF(A15="","",INDEX('Registro Incidencias'!O$5:O$200,A15))</f>
        <v/>
      </c>
      <c r="J15" s="25" t="str">
        <f>IF(A15="","",INDEX('Registro Incidencias'!R$5:R$200,A15))</f>
        <v/>
      </c>
      <c r="K15" s="25" t="str">
        <f>IF(A15="","",INDEX('Registro Incidencias'!AF$5:AF$200,A15))</f>
        <v/>
      </c>
      <c r="L15" s="28" t="str">
        <f>IF(A15="","",INDEX('Registro Incidencias'!AI$5:AI$200,A15))</f>
        <v/>
      </c>
      <c r="M15" s="22" t="str">
        <f>IF(A15="","",INDEX('Registro Incidencias'!AD$5:AD$200,A15))</f>
        <v/>
      </c>
      <c r="N15" s="25" t="str">
        <f>IF(A15="","",INDEX('Registro Incidencias'!AE$5:AE$200,A15))</f>
        <v/>
      </c>
      <c r="O15" s="22" t="str">
        <f>IF(A15="","",INDEX('Registro Incidencias'!AK$5:AK$200,A15))</f>
        <v/>
      </c>
      <c r="P15" s="63" t="str">
        <f>IF(A15="","",INDEX('Registro Incidencias'!AU$5:AU$200,A15))</f>
        <v/>
      </c>
      <c r="Q15" s="32" t="str">
        <f>IF(A15="","",INDEX('Registro Incidencias'!AV$5:AV$200,A15))</f>
        <v/>
      </c>
      <c r="R15" s="32"/>
      <c r="S15" s="32"/>
    </row>
    <row r="16" spans="1:19" ht="15" customHeight="1" x14ac:dyDescent="0.25">
      <c r="A16" s="36" t="str">
        <f>IFERROR(MATCH(1,INDEX(('Registro Incidencias'!AX$5:AX$200="Adrián"&amp;TEXT('📅 Semana'!B$8,"YYYYMMDD"))*('Registro Incidencias'!AY$5:AY$200=2),),0),"")</f>
        <v/>
      </c>
      <c r="B16" s="64" t="str">
        <f>IF(A16="","",INDEX('Registro Incidencias'!U$5:U$200,A16))</f>
        <v/>
      </c>
      <c r="C16" s="33" t="str">
        <f>IF(A16="","",INDEX('Registro Incidencias'!L$5:L$200,A16))</f>
        <v/>
      </c>
      <c r="D16" s="33" t="str">
        <f>IF(A16="","",INDEX('Registro Incidencias'!A$5:A$200,A16))</f>
        <v/>
      </c>
      <c r="E16" s="33" t="str">
        <f>IF(A16="","",INDEX('Registro Incidencias'!D$5:D$200,A16))</f>
        <v/>
      </c>
      <c r="F16" s="36" t="str">
        <f>IF(A16="","",INDEX('Registro Incidencias'!F$5:F$200,A16))</f>
        <v/>
      </c>
      <c r="G16" s="36" t="str">
        <f>IF(A16="","",INDEX('Registro Incidencias'!G$5:G$200,A16))</f>
        <v/>
      </c>
      <c r="H16" s="36" t="str">
        <f>IF(A16="","",INDEX('Registro Incidencias'!H$5:H$200,A16))</f>
        <v/>
      </c>
      <c r="I16" s="36" t="str">
        <f>IF(A16="","",INDEX('Registro Incidencias'!O$5:O$200,A16))</f>
        <v/>
      </c>
      <c r="J16" s="36" t="str">
        <f>IF(A16="","",INDEX('Registro Incidencias'!R$5:R$200,A16))</f>
        <v/>
      </c>
      <c r="K16" s="36" t="str">
        <f>IF(A16="","",INDEX('Registro Incidencias'!AF$5:AF$200,A16))</f>
        <v/>
      </c>
      <c r="L16" s="39" t="str">
        <f>IF(A16="","",INDEX('Registro Incidencias'!AI$5:AI$200,A16))</f>
        <v/>
      </c>
      <c r="M16" s="33" t="str">
        <f>IF(A16="","",INDEX('Registro Incidencias'!AD$5:AD$200,A16))</f>
        <v/>
      </c>
      <c r="N16" s="36" t="str">
        <f>IF(A16="","",INDEX('Registro Incidencias'!AE$5:AE$200,A16))</f>
        <v/>
      </c>
      <c r="O16" s="33" t="str">
        <f>IF(A16="","",INDEX('Registro Incidencias'!AK$5:AK$200,A16))</f>
        <v/>
      </c>
      <c r="P16" s="63" t="str">
        <f>IF(A16="","",INDEX('Registro Incidencias'!AU$5:AU$200,A16))</f>
        <v/>
      </c>
      <c r="Q16" s="32" t="str">
        <f>IF(A16="","",INDEX('Registro Incidencias'!AV$5:AV$200,A16))</f>
        <v/>
      </c>
      <c r="R16" s="32"/>
      <c r="S16" s="32"/>
    </row>
    <row r="17" spans="1:19" ht="15" customHeight="1" x14ac:dyDescent="0.25">
      <c r="A17" s="25" t="str">
        <f>IFERROR(MATCH(1,INDEX(('Registro Incidencias'!AX$5:AX$200="Adrián"&amp;TEXT('📅 Semana'!B$8,"YYYYMMDD"))*('Registro Incidencias'!AY$5:AY$200=3),),0),"")</f>
        <v/>
      </c>
      <c r="B17" s="62" t="str">
        <f>IF(A17="","",INDEX('Registro Incidencias'!U$5:U$200,A17))</f>
        <v/>
      </c>
      <c r="C17" s="22" t="str">
        <f>IF(A17="","",INDEX('Registro Incidencias'!L$5:L$200,A17))</f>
        <v/>
      </c>
      <c r="D17" s="22" t="str">
        <f>IF(A17="","",INDEX('Registro Incidencias'!A$5:A$200,A17))</f>
        <v/>
      </c>
      <c r="E17" s="22" t="str">
        <f>IF(A17="","",INDEX('Registro Incidencias'!D$5:D$200,A17))</f>
        <v/>
      </c>
      <c r="F17" s="25" t="str">
        <f>IF(A17="","",INDEX('Registro Incidencias'!F$5:F$200,A17))</f>
        <v/>
      </c>
      <c r="G17" s="25" t="str">
        <f>IF(A17="","",INDEX('Registro Incidencias'!G$5:G$200,A17))</f>
        <v/>
      </c>
      <c r="H17" s="25" t="str">
        <f>IF(A17="","",INDEX('Registro Incidencias'!H$5:H$200,A17))</f>
        <v/>
      </c>
      <c r="I17" s="25" t="str">
        <f>IF(A17="","",INDEX('Registro Incidencias'!O$5:O$200,A17))</f>
        <v/>
      </c>
      <c r="J17" s="25" t="str">
        <f>IF(A17="","",INDEX('Registro Incidencias'!R$5:R$200,A17))</f>
        <v/>
      </c>
      <c r="K17" s="25" t="str">
        <f>IF(A17="","",INDEX('Registro Incidencias'!AF$5:AF$200,A17))</f>
        <v/>
      </c>
      <c r="L17" s="28" t="str">
        <f>IF(A17="","",INDEX('Registro Incidencias'!AI$5:AI$200,A17))</f>
        <v/>
      </c>
      <c r="M17" s="22" t="str">
        <f>IF(A17="","",INDEX('Registro Incidencias'!AD$5:AD$200,A17))</f>
        <v/>
      </c>
      <c r="N17" s="25" t="str">
        <f>IF(A17="","",INDEX('Registro Incidencias'!AE$5:AE$200,A17))</f>
        <v/>
      </c>
      <c r="O17" s="22" t="str">
        <f>IF(A17="","",INDEX('Registro Incidencias'!AK$5:AK$200,A17))</f>
        <v/>
      </c>
      <c r="P17" s="63" t="str">
        <f>IF(A17="","",INDEX('Registro Incidencias'!AU$5:AU$200,A17))</f>
        <v/>
      </c>
      <c r="Q17" s="32" t="str">
        <f>IF(A17="","",INDEX('Registro Incidencias'!AV$5:AV$200,A17))</f>
        <v/>
      </c>
      <c r="R17" s="32"/>
      <c r="S17" s="32"/>
    </row>
    <row r="18" spans="1:19" ht="15" customHeight="1" x14ac:dyDescent="0.25">
      <c r="A18" s="36" t="str">
        <f>IFERROR(MATCH(1,INDEX(('Registro Incidencias'!AX$5:AX$200="Adrián"&amp;TEXT('📅 Semana'!B$8,"YYYYMMDD"))*('Registro Incidencias'!AY$5:AY$200=4),),0),"")</f>
        <v/>
      </c>
      <c r="B18" s="64" t="str">
        <f>IF(A18="","",INDEX('Registro Incidencias'!U$5:U$200,A18))</f>
        <v/>
      </c>
      <c r="C18" s="33" t="str">
        <f>IF(A18="","",INDEX('Registro Incidencias'!L$5:L$200,A18))</f>
        <v/>
      </c>
      <c r="D18" s="33" t="str">
        <f>IF(A18="","",INDEX('Registro Incidencias'!A$5:A$200,A18))</f>
        <v/>
      </c>
      <c r="E18" s="33" t="str">
        <f>IF(A18="","",INDEX('Registro Incidencias'!D$5:D$200,A18))</f>
        <v/>
      </c>
      <c r="F18" s="36" t="str">
        <f>IF(A18="","",INDEX('Registro Incidencias'!F$5:F$200,A18))</f>
        <v/>
      </c>
      <c r="G18" s="36" t="str">
        <f>IF(A18="","",INDEX('Registro Incidencias'!G$5:G$200,A18))</f>
        <v/>
      </c>
      <c r="H18" s="36" t="str">
        <f>IF(A18="","",INDEX('Registro Incidencias'!H$5:H$200,A18))</f>
        <v/>
      </c>
      <c r="I18" s="36" t="str">
        <f>IF(A18="","",INDEX('Registro Incidencias'!O$5:O$200,A18))</f>
        <v/>
      </c>
      <c r="J18" s="36" t="str">
        <f>IF(A18="","",INDEX('Registro Incidencias'!R$5:R$200,A18))</f>
        <v/>
      </c>
      <c r="K18" s="36" t="str">
        <f>IF(A18="","",INDEX('Registro Incidencias'!AF$5:AF$200,A18))</f>
        <v/>
      </c>
      <c r="L18" s="39" t="str">
        <f>IF(A18="","",INDEX('Registro Incidencias'!AI$5:AI$200,A18))</f>
        <v/>
      </c>
      <c r="M18" s="33" t="str">
        <f>IF(A18="","",INDEX('Registro Incidencias'!AD$5:AD$200,A18))</f>
        <v/>
      </c>
      <c r="N18" s="36" t="str">
        <f>IF(A18="","",INDEX('Registro Incidencias'!AE$5:AE$200,A18))</f>
        <v/>
      </c>
      <c r="O18" s="33" t="str">
        <f>IF(A18="","",INDEX('Registro Incidencias'!AK$5:AK$200,A18))</f>
        <v/>
      </c>
      <c r="P18" s="63" t="str">
        <f>IF(A18="","",INDEX('Registro Incidencias'!AU$5:AU$200,A18))</f>
        <v/>
      </c>
      <c r="Q18" s="32" t="str">
        <f>IF(A18="","",INDEX('Registro Incidencias'!AV$5:AV$200,A18))</f>
        <v/>
      </c>
      <c r="R18" s="32"/>
      <c r="S18" s="32"/>
    </row>
    <row r="19" spans="1:19" ht="15" customHeight="1" x14ac:dyDescent="0.25">
      <c r="A19" s="25" t="str">
        <f>IFERROR(MATCH(1,INDEX(('Registro Incidencias'!AX$5:AX$200="Adrián"&amp;TEXT('📅 Semana'!B$8,"YYYYMMDD"))*('Registro Incidencias'!AY$5:AY$200=5),),0),"")</f>
        <v/>
      </c>
      <c r="B19" s="62" t="str">
        <f>IF(A19="","",INDEX('Registro Incidencias'!U$5:U$200,A19))</f>
        <v/>
      </c>
      <c r="C19" s="22" t="str">
        <f>IF(A19="","",INDEX('Registro Incidencias'!L$5:L$200,A19))</f>
        <v/>
      </c>
      <c r="D19" s="22" t="str">
        <f>IF(A19="","",INDEX('Registro Incidencias'!A$5:A$200,A19))</f>
        <v/>
      </c>
      <c r="E19" s="22" t="str">
        <f>IF(A19="","",INDEX('Registro Incidencias'!D$5:D$200,A19))</f>
        <v/>
      </c>
      <c r="F19" s="25" t="str">
        <f>IF(A19="","",INDEX('Registro Incidencias'!F$5:F$200,A19))</f>
        <v/>
      </c>
      <c r="G19" s="25" t="str">
        <f>IF(A19="","",INDEX('Registro Incidencias'!G$5:G$200,A19))</f>
        <v/>
      </c>
      <c r="H19" s="25" t="str">
        <f>IF(A19="","",INDEX('Registro Incidencias'!H$5:H$200,A19))</f>
        <v/>
      </c>
      <c r="I19" s="25" t="str">
        <f>IF(A19="","",INDEX('Registro Incidencias'!O$5:O$200,A19))</f>
        <v/>
      </c>
      <c r="J19" s="25" t="str">
        <f>IF(A19="","",INDEX('Registro Incidencias'!R$5:R$200,A19))</f>
        <v/>
      </c>
      <c r="K19" s="25" t="str">
        <f>IF(A19="","",INDEX('Registro Incidencias'!AF$5:AF$200,A19))</f>
        <v/>
      </c>
      <c r="L19" s="28" t="str">
        <f>IF(A19="","",INDEX('Registro Incidencias'!AI$5:AI$200,A19))</f>
        <v/>
      </c>
      <c r="M19" s="22" t="str">
        <f>IF(A19="","",INDEX('Registro Incidencias'!AD$5:AD$200,A19))</f>
        <v/>
      </c>
      <c r="N19" s="25" t="str">
        <f>IF(A19="","",INDEX('Registro Incidencias'!AE$5:AE$200,A19))</f>
        <v/>
      </c>
      <c r="O19" s="22" t="str">
        <f>IF(A19="","",INDEX('Registro Incidencias'!AK$5:AK$200,A19))</f>
        <v/>
      </c>
      <c r="P19" s="63" t="str">
        <f>IF(A19="","",INDEX('Registro Incidencias'!AU$5:AU$200,A19))</f>
        <v/>
      </c>
      <c r="Q19" s="32" t="str">
        <f>IF(A19="","",INDEX('Registro Incidencias'!AV$5:AV$200,A19))</f>
        <v/>
      </c>
      <c r="R19" s="32"/>
      <c r="S19" s="32"/>
    </row>
    <row r="20" spans="1:19" ht="15" customHeight="1" x14ac:dyDescent="0.25">
      <c r="A20" s="36" t="str">
        <f>IFERROR(MATCH(1,INDEX(('Registro Incidencias'!AX$5:AX$200="Adrián"&amp;TEXT('📅 Semana'!B$8,"YYYYMMDD"))*('Registro Incidencias'!AY$5:AY$200=6),),0),"")</f>
        <v/>
      </c>
      <c r="B20" s="64" t="str">
        <f>IF(A20="","",INDEX('Registro Incidencias'!U$5:U$200,A20))</f>
        <v/>
      </c>
      <c r="C20" s="33" t="str">
        <f>IF(A20="","",INDEX('Registro Incidencias'!L$5:L$200,A20))</f>
        <v/>
      </c>
      <c r="D20" s="33" t="str">
        <f>IF(A20="","",INDEX('Registro Incidencias'!A$5:A$200,A20))</f>
        <v/>
      </c>
      <c r="E20" s="33" t="str">
        <f>IF(A20="","",INDEX('Registro Incidencias'!D$5:D$200,A20))</f>
        <v/>
      </c>
      <c r="F20" s="36" t="str">
        <f>IF(A20="","",INDEX('Registro Incidencias'!F$5:F$200,A20))</f>
        <v/>
      </c>
      <c r="G20" s="36" t="str">
        <f>IF(A20="","",INDEX('Registro Incidencias'!G$5:G$200,A20))</f>
        <v/>
      </c>
      <c r="H20" s="36" t="str">
        <f>IF(A20="","",INDEX('Registro Incidencias'!H$5:H$200,A20))</f>
        <v/>
      </c>
      <c r="I20" s="36" t="str">
        <f>IF(A20="","",INDEX('Registro Incidencias'!O$5:O$200,A20))</f>
        <v/>
      </c>
      <c r="J20" s="36" t="str">
        <f>IF(A20="","",INDEX('Registro Incidencias'!R$5:R$200,A20))</f>
        <v/>
      </c>
      <c r="K20" s="36" t="str">
        <f>IF(A20="","",INDEX('Registro Incidencias'!AF$5:AF$200,A20))</f>
        <v/>
      </c>
      <c r="L20" s="39" t="str">
        <f>IF(A20="","",INDEX('Registro Incidencias'!AI$5:AI$200,A20))</f>
        <v/>
      </c>
      <c r="M20" s="33" t="str">
        <f>IF(A20="","",INDEX('Registro Incidencias'!AD$5:AD$200,A20))</f>
        <v/>
      </c>
      <c r="N20" s="36" t="str">
        <f>IF(A20="","",INDEX('Registro Incidencias'!AE$5:AE$200,A20))</f>
        <v/>
      </c>
      <c r="O20" s="33" t="str">
        <f>IF(A20="","",INDEX('Registro Incidencias'!AK$5:AK$200,A20))</f>
        <v/>
      </c>
      <c r="P20" s="63" t="str">
        <f>IF(A20="","",INDEX('Registro Incidencias'!AU$5:AU$200,A20))</f>
        <v/>
      </c>
      <c r="Q20" s="32" t="str">
        <f>IF(A20="","",INDEX('Registro Incidencias'!AV$5:AV$200,A20))</f>
        <v/>
      </c>
      <c r="R20" s="32"/>
      <c r="S20" s="32"/>
    </row>
    <row r="21" spans="1:19" ht="21.75" customHeight="1" x14ac:dyDescent="0.25">
      <c r="A21" s="123" t="str">
        <f>COUNTIFS('Registro Incidencias'!S$5:S$200,"Adrián",'Registro Incidencias'!T$5:T$200,'📅 Semana'!B$8)&amp;" averías"</f>
        <v>0 averías</v>
      </c>
      <c r="B21" s="123"/>
      <c r="C21" s="123"/>
      <c r="D21" s="123"/>
      <c r="E21" s="123"/>
      <c r="F21" s="123"/>
      <c r="G21" s="123"/>
      <c r="H21" s="123"/>
      <c r="I21" s="123"/>
      <c r="J21" s="2" t="str">
        <f>"Verificadas: "&amp;COUNTIFS(A15:A20,"&lt;&gt;",P15:P20,"&lt;&gt;")&amp;"/"&amp;COUNTIF(A15:A20,"&lt;&gt;")</f>
        <v>Verificadas: 6/6</v>
      </c>
      <c r="K21" s="2"/>
      <c r="L21" s="2"/>
      <c r="M21" s="2"/>
      <c r="N21" s="2"/>
      <c r="O21" s="2"/>
      <c r="P21" s="2"/>
    </row>
    <row r="23" spans="1:19" ht="30" customHeight="1" x14ac:dyDescent="0.25">
      <c r="A23" s="124" t="str">
        <f>TEXT('📅 Semana'!B$9,"DDDD")&amp;"  —  "&amp;TEXT('📅 Semana'!B$9,"DD/MM/")&amp;"2026"</f>
        <v>miércoles  —  18/02/2026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</row>
    <row r="24" spans="1:19" ht="30" customHeight="1" x14ac:dyDescent="0.25">
      <c r="A24" s="66" t="s">
        <v>85</v>
      </c>
      <c r="B24" s="66" t="s">
        <v>86</v>
      </c>
      <c r="C24" s="66" t="s">
        <v>18</v>
      </c>
      <c r="D24" s="66" t="s">
        <v>87</v>
      </c>
      <c r="E24" s="66" t="s">
        <v>88</v>
      </c>
      <c r="F24" s="66" t="s">
        <v>89</v>
      </c>
      <c r="G24" s="66" t="s">
        <v>13</v>
      </c>
      <c r="H24" s="66" t="s">
        <v>14</v>
      </c>
      <c r="I24" s="66" t="s">
        <v>90</v>
      </c>
      <c r="J24" s="66" t="s">
        <v>91</v>
      </c>
      <c r="K24" s="66" t="s">
        <v>92</v>
      </c>
      <c r="L24" s="66" t="s">
        <v>93</v>
      </c>
      <c r="M24" s="66" t="s">
        <v>94</v>
      </c>
      <c r="N24" s="66" t="s">
        <v>37</v>
      </c>
      <c r="O24" s="66" t="s">
        <v>43</v>
      </c>
      <c r="P24" s="61" t="s">
        <v>95</v>
      </c>
      <c r="Q24" s="61" t="s">
        <v>96</v>
      </c>
      <c r="R24" s="61" t="s">
        <v>97</v>
      </c>
      <c r="S24" s="61" t="s">
        <v>98</v>
      </c>
    </row>
    <row r="25" spans="1:19" ht="15" customHeight="1" x14ac:dyDescent="0.25">
      <c r="A25" s="25" t="str">
        <f>IFERROR(MATCH(1,INDEX(('Registro Incidencias'!AX$5:AX$200="Adrián"&amp;TEXT('📅 Semana'!B$9,"YYYYMMDD"))*('Registro Incidencias'!AY$5:AY$200=1),),0),"")</f>
        <v/>
      </c>
      <c r="B25" s="62" t="str">
        <f>IF(A25="","",INDEX('Registro Incidencias'!U$5:U$200,A25))</f>
        <v/>
      </c>
      <c r="C25" s="22" t="str">
        <f>IF(A25="","",INDEX('Registro Incidencias'!L$5:L$200,A25))</f>
        <v/>
      </c>
      <c r="D25" s="22" t="str">
        <f>IF(A25="","",INDEX('Registro Incidencias'!A$5:A$200,A25))</f>
        <v/>
      </c>
      <c r="E25" s="22" t="str">
        <f>IF(A25="","",INDEX('Registro Incidencias'!D$5:D$200,A25))</f>
        <v/>
      </c>
      <c r="F25" s="25" t="str">
        <f>IF(A25="","",INDEX('Registro Incidencias'!F$5:F$200,A25))</f>
        <v/>
      </c>
      <c r="G25" s="25" t="str">
        <f>IF(A25="","",INDEX('Registro Incidencias'!G$5:G$200,A25))</f>
        <v/>
      </c>
      <c r="H25" s="25" t="str">
        <f>IF(A25="","",INDEX('Registro Incidencias'!H$5:H$200,A25))</f>
        <v/>
      </c>
      <c r="I25" s="25" t="str">
        <f>IF(A25="","",INDEX('Registro Incidencias'!O$5:O$200,A25))</f>
        <v/>
      </c>
      <c r="J25" s="25" t="str">
        <f>IF(A25="","",INDEX('Registro Incidencias'!R$5:R$200,A25))</f>
        <v/>
      </c>
      <c r="K25" s="25" t="str">
        <f>IF(A25="","",INDEX('Registro Incidencias'!AF$5:AF$200,A25))</f>
        <v/>
      </c>
      <c r="L25" s="28" t="str">
        <f>IF(A25="","",INDEX('Registro Incidencias'!AI$5:AI$200,A25))</f>
        <v/>
      </c>
      <c r="M25" s="22" t="str">
        <f>IF(A25="","",INDEX('Registro Incidencias'!AD$5:AD$200,A25))</f>
        <v/>
      </c>
      <c r="N25" s="25" t="str">
        <f>IF(A25="","",INDEX('Registro Incidencias'!AE$5:AE$200,A25))</f>
        <v/>
      </c>
      <c r="O25" s="22" t="str">
        <f>IF(A25="","",INDEX('Registro Incidencias'!AK$5:AK$200,A25))</f>
        <v/>
      </c>
      <c r="P25" s="63" t="str">
        <f>IF(A25="","",INDEX('Registro Incidencias'!AU$5:AU$200,A25))</f>
        <v/>
      </c>
      <c r="Q25" s="32" t="str">
        <f>IF(A25="","",INDEX('Registro Incidencias'!AV$5:AV$200,A25))</f>
        <v/>
      </c>
      <c r="R25" s="32"/>
      <c r="S25" s="32"/>
    </row>
    <row r="26" spans="1:19" ht="15" customHeight="1" x14ac:dyDescent="0.25">
      <c r="A26" s="36" t="str">
        <f>IFERROR(MATCH(1,INDEX(('Registro Incidencias'!AX$5:AX$200="Adrián"&amp;TEXT('📅 Semana'!B$9,"YYYYMMDD"))*('Registro Incidencias'!AY$5:AY$200=2),),0),"")</f>
        <v/>
      </c>
      <c r="B26" s="64" t="str">
        <f>IF(A26="","",INDEX('Registro Incidencias'!U$5:U$200,A26))</f>
        <v/>
      </c>
      <c r="C26" s="33" t="str">
        <f>IF(A26="","",INDEX('Registro Incidencias'!L$5:L$200,A26))</f>
        <v/>
      </c>
      <c r="D26" s="33" t="str">
        <f>IF(A26="","",INDEX('Registro Incidencias'!A$5:A$200,A26))</f>
        <v/>
      </c>
      <c r="E26" s="33" t="str">
        <f>IF(A26="","",INDEX('Registro Incidencias'!D$5:D$200,A26))</f>
        <v/>
      </c>
      <c r="F26" s="36" t="str">
        <f>IF(A26="","",INDEX('Registro Incidencias'!F$5:F$200,A26))</f>
        <v/>
      </c>
      <c r="G26" s="36" t="str">
        <f>IF(A26="","",INDEX('Registro Incidencias'!G$5:G$200,A26))</f>
        <v/>
      </c>
      <c r="H26" s="36" t="str">
        <f>IF(A26="","",INDEX('Registro Incidencias'!H$5:H$200,A26))</f>
        <v/>
      </c>
      <c r="I26" s="36" t="str">
        <f>IF(A26="","",INDEX('Registro Incidencias'!O$5:O$200,A26))</f>
        <v/>
      </c>
      <c r="J26" s="36" t="str">
        <f>IF(A26="","",INDEX('Registro Incidencias'!R$5:R$200,A26))</f>
        <v/>
      </c>
      <c r="K26" s="36" t="str">
        <f>IF(A26="","",INDEX('Registro Incidencias'!AF$5:AF$200,A26))</f>
        <v/>
      </c>
      <c r="L26" s="39" t="str">
        <f>IF(A26="","",INDEX('Registro Incidencias'!AI$5:AI$200,A26))</f>
        <v/>
      </c>
      <c r="M26" s="33" t="str">
        <f>IF(A26="","",INDEX('Registro Incidencias'!AD$5:AD$200,A26))</f>
        <v/>
      </c>
      <c r="N26" s="36" t="str">
        <f>IF(A26="","",INDEX('Registro Incidencias'!AE$5:AE$200,A26))</f>
        <v/>
      </c>
      <c r="O26" s="33" t="str">
        <f>IF(A26="","",INDEX('Registro Incidencias'!AK$5:AK$200,A26))</f>
        <v/>
      </c>
      <c r="P26" s="63" t="str">
        <f>IF(A26="","",INDEX('Registro Incidencias'!AU$5:AU$200,A26))</f>
        <v/>
      </c>
      <c r="Q26" s="32" t="str">
        <f>IF(A26="","",INDEX('Registro Incidencias'!AV$5:AV$200,A26))</f>
        <v/>
      </c>
      <c r="R26" s="32"/>
      <c r="S26" s="32"/>
    </row>
    <row r="27" spans="1:19" ht="15" customHeight="1" x14ac:dyDescent="0.25">
      <c r="A27" s="25" t="str">
        <f>IFERROR(MATCH(1,INDEX(('Registro Incidencias'!AX$5:AX$200="Adrián"&amp;TEXT('📅 Semana'!B$9,"YYYYMMDD"))*('Registro Incidencias'!AY$5:AY$200=3),),0),"")</f>
        <v/>
      </c>
      <c r="B27" s="62" t="str">
        <f>IF(A27="","",INDEX('Registro Incidencias'!U$5:U$200,A27))</f>
        <v/>
      </c>
      <c r="C27" s="22" t="str">
        <f>IF(A27="","",INDEX('Registro Incidencias'!L$5:L$200,A27))</f>
        <v/>
      </c>
      <c r="D27" s="22" t="str">
        <f>IF(A27="","",INDEX('Registro Incidencias'!A$5:A$200,A27))</f>
        <v/>
      </c>
      <c r="E27" s="22" t="str">
        <f>IF(A27="","",INDEX('Registro Incidencias'!D$5:D$200,A27))</f>
        <v/>
      </c>
      <c r="F27" s="25" t="str">
        <f>IF(A27="","",INDEX('Registro Incidencias'!F$5:F$200,A27))</f>
        <v/>
      </c>
      <c r="G27" s="25" t="str">
        <f>IF(A27="","",INDEX('Registro Incidencias'!G$5:G$200,A27))</f>
        <v/>
      </c>
      <c r="H27" s="25" t="str">
        <f>IF(A27="","",INDEX('Registro Incidencias'!H$5:H$200,A27))</f>
        <v/>
      </c>
      <c r="I27" s="25" t="str">
        <f>IF(A27="","",INDEX('Registro Incidencias'!O$5:O$200,A27))</f>
        <v/>
      </c>
      <c r="J27" s="25" t="str">
        <f>IF(A27="","",INDEX('Registro Incidencias'!R$5:R$200,A27))</f>
        <v/>
      </c>
      <c r="K27" s="25" t="str">
        <f>IF(A27="","",INDEX('Registro Incidencias'!AF$5:AF$200,A27))</f>
        <v/>
      </c>
      <c r="L27" s="28" t="str">
        <f>IF(A27="","",INDEX('Registro Incidencias'!AI$5:AI$200,A27))</f>
        <v/>
      </c>
      <c r="M27" s="22" t="str">
        <f>IF(A27="","",INDEX('Registro Incidencias'!AD$5:AD$200,A27))</f>
        <v/>
      </c>
      <c r="N27" s="25" t="str">
        <f>IF(A27="","",INDEX('Registro Incidencias'!AE$5:AE$200,A27))</f>
        <v/>
      </c>
      <c r="O27" s="22" t="str">
        <f>IF(A27="","",INDEX('Registro Incidencias'!AK$5:AK$200,A27))</f>
        <v/>
      </c>
      <c r="P27" s="63" t="str">
        <f>IF(A27="","",INDEX('Registro Incidencias'!AU$5:AU$200,A27))</f>
        <v/>
      </c>
      <c r="Q27" s="32" t="str">
        <f>IF(A27="","",INDEX('Registro Incidencias'!AV$5:AV$200,A27))</f>
        <v/>
      </c>
      <c r="R27" s="32"/>
      <c r="S27" s="32"/>
    </row>
    <row r="28" spans="1:19" ht="15" customHeight="1" x14ac:dyDescent="0.25">
      <c r="A28" s="36" t="str">
        <f>IFERROR(MATCH(1,INDEX(('Registro Incidencias'!AX$5:AX$200="Adrián"&amp;TEXT('📅 Semana'!B$9,"YYYYMMDD"))*('Registro Incidencias'!AY$5:AY$200=4),),0),"")</f>
        <v/>
      </c>
      <c r="B28" s="64" t="str">
        <f>IF(A28="","",INDEX('Registro Incidencias'!U$5:U$200,A28))</f>
        <v/>
      </c>
      <c r="C28" s="33" t="str">
        <f>IF(A28="","",INDEX('Registro Incidencias'!L$5:L$200,A28))</f>
        <v/>
      </c>
      <c r="D28" s="33" t="str">
        <f>IF(A28="","",INDEX('Registro Incidencias'!A$5:A$200,A28))</f>
        <v/>
      </c>
      <c r="E28" s="33" t="str">
        <f>IF(A28="","",INDEX('Registro Incidencias'!D$5:D$200,A28))</f>
        <v/>
      </c>
      <c r="F28" s="36" t="str">
        <f>IF(A28="","",INDEX('Registro Incidencias'!F$5:F$200,A28))</f>
        <v/>
      </c>
      <c r="G28" s="36" t="str">
        <f>IF(A28="","",INDEX('Registro Incidencias'!G$5:G$200,A28))</f>
        <v/>
      </c>
      <c r="H28" s="36" t="str">
        <f>IF(A28="","",INDEX('Registro Incidencias'!H$5:H$200,A28))</f>
        <v/>
      </c>
      <c r="I28" s="36" t="str">
        <f>IF(A28="","",INDEX('Registro Incidencias'!O$5:O$200,A28))</f>
        <v/>
      </c>
      <c r="J28" s="36" t="str">
        <f>IF(A28="","",INDEX('Registro Incidencias'!R$5:R$200,A28))</f>
        <v/>
      </c>
      <c r="K28" s="36" t="str">
        <f>IF(A28="","",INDEX('Registro Incidencias'!AF$5:AF$200,A28))</f>
        <v/>
      </c>
      <c r="L28" s="39" t="str">
        <f>IF(A28="","",INDEX('Registro Incidencias'!AI$5:AI$200,A28))</f>
        <v/>
      </c>
      <c r="M28" s="33" t="str">
        <f>IF(A28="","",INDEX('Registro Incidencias'!AD$5:AD$200,A28))</f>
        <v/>
      </c>
      <c r="N28" s="36" t="str">
        <f>IF(A28="","",INDEX('Registro Incidencias'!AE$5:AE$200,A28))</f>
        <v/>
      </c>
      <c r="O28" s="33" t="str">
        <f>IF(A28="","",INDEX('Registro Incidencias'!AK$5:AK$200,A28))</f>
        <v/>
      </c>
      <c r="P28" s="63" t="str">
        <f>IF(A28="","",INDEX('Registro Incidencias'!AU$5:AU$200,A28))</f>
        <v/>
      </c>
      <c r="Q28" s="32" t="str">
        <f>IF(A28="","",INDEX('Registro Incidencias'!AV$5:AV$200,A28))</f>
        <v/>
      </c>
      <c r="R28" s="32"/>
      <c r="S28" s="32"/>
    </row>
    <row r="29" spans="1:19" ht="15" customHeight="1" x14ac:dyDescent="0.25">
      <c r="A29" s="25" t="str">
        <f>IFERROR(MATCH(1,INDEX(('Registro Incidencias'!AX$5:AX$200="Adrián"&amp;TEXT('📅 Semana'!B$9,"YYYYMMDD"))*('Registro Incidencias'!AY$5:AY$200=5),),0),"")</f>
        <v/>
      </c>
      <c r="B29" s="62" t="str">
        <f>IF(A29="","",INDEX('Registro Incidencias'!U$5:U$200,A29))</f>
        <v/>
      </c>
      <c r="C29" s="22" t="str">
        <f>IF(A29="","",INDEX('Registro Incidencias'!L$5:L$200,A29))</f>
        <v/>
      </c>
      <c r="D29" s="22" t="str">
        <f>IF(A29="","",INDEX('Registro Incidencias'!A$5:A$200,A29))</f>
        <v/>
      </c>
      <c r="E29" s="22" t="str">
        <f>IF(A29="","",INDEX('Registro Incidencias'!D$5:D$200,A29))</f>
        <v/>
      </c>
      <c r="F29" s="25" t="str">
        <f>IF(A29="","",INDEX('Registro Incidencias'!F$5:F$200,A29))</f>
        <v/>
      </c>
      <c r="G29" s="25" t="str">
        <f>IF(A29="","",INDEX('Registro Incidencias'!G$5:G$200,A29))</f>
        <v/>
      </c>
      <c r="H29" s="25" t="str">
        <f>IF(A29="","",INDEX('Registro Incidencias'!H$5:H$200,A29))</f>
        <v/>
      </c>
      <c r="I29" s="25" t="str">
        <f>IF(A29="","",INDEX('Registro Incidencias'!O$5:O$200,A29))</f>
        <v/>
      </c>
      <c r="J29" s="25" t="str">
        <f>IF(A29="","",INDEX('Registro Incidencias'!R$5:R$200,A29))</f>
        <v/>
      </c>
      <c r="K29" s="25" t="str">
        <f>IF(A29="","",INDEX('Registro Incidencias'!AF$5:AF$200,A29))</f>
        <v/>
      </c>
      <c r="L29" s="28" t="str">
        <f>IF(A29="","",INDEX('Registro Incidencias'!AI$5:AI$200,A29))</f>
        <v/>
      </c>
      <c r="M29" s="22" t="str">
        <f>IF(A29="","",INDEX('Registro Incidencias'!AD$5:AD$200,A29))</f>
        <v/>
      </c>
      <c r="N29" s="25" t="str">
        <f>IF(A29="","",INDEX('Registro Incidencias'!AE$5:AE$200,A29))</f>
        <v/>
      </c>
      <c r="O29" s="22" t="str">
        <f>IF(A29="","",INDEX('Registro Incidencias'!AK$5:AK$200,A29))</f>
        <v/>
      </c>
      <c r="P29" s="63" t="str">
        <f>IF(A29="","",INDEX('Registro Incidencias'!AU$5:AU$200,A29))</f>
        <v/>
      </c>
      <c r="Q29" s="32" t="str">
        <f>IF(A29="","",INDEX('Registro Incidencias'!AV$5:AV$200,A29))</f>
        <v/>
      </c>
      <c r="R29" s="32"/>
      <c r="S29" s="32"/>
    </row>
    <row r="30" spans="1:19" ht="15" customHeight="1" x14ac:dyDescent="0.25">
      <c r="A30" s="36" t="str">
        <f>IFERROR(MATCH(1,INDEX(('Registro Incidencias'!AX$5:AX$200="Adrián"&amp;TEXT('📅 Semana'!B$9,"YYYYMMDD"))*('Registro Incidencias'!AY$5:AY$200=6),),0),"")</f>
        <v/>
      </c>
      <c r="B30" s="64" t="str">
        <f>IF(A30="","",INDEX('Registro Incidencias'!U$5:U$200,A30))</f>
        <v/>
      </c>
      <c r="C30" s="33" t="str">
        <f>IF(A30="","",INDEX('Registro Incidencias'!L$5:L$200,A30))</f>
        <v/>
      </c>
      <c r="D30" s="33" t="str">
        <f>IF(A30="","",INDEX('Registro Incidencias'!A$5:A$200,A30))</f>
        <v/>
      </c>
      <c r="E30" s="33" t="str">
        <f>IF(A30="","",INDEX('Registro Incidencias'!D$5:D$200,A30))</f>
        <v/>
      </c>
      <c r="F30" s="36" t="str">
        <f>IF(A30="","",INDEX('Registro Incidencias'!F$5:F$200,A30))</f>
        <v/>
      </c>
      <c r="G30" s="36" t="str">
        <f>IF(A30="","",INDEX('Registro Incidencias'!G$5:G$200,A30))</f>
        <v/>
      </c>
      <c r="H30" s="36" t="str">
        <f>IF(A30="","",INDEX('Registro Incidencias'!H$5:H$200,A30))</f>
        <v/>
      </c>
      <c r="I30" s="36" t="str">
        <f>IF(A30="","",INDEX('Registro Incidencias'!O$5:O$200,A30))</f>
        <v/>
      </c>
      <c r="J30" s="36" t="str">
        <f>IF(A30="","",INDEX('Registro Incidencias'!R$5:R$200,A30))</f>
        <v/>
      </c>
      <c r="K30" s="36" t="str">
        <f>IF(A30="","",INDEX('Registro Incidencias'!AF$5:AF$200,A30))</f>
        <v/>
      </c>
      <c r="L30" s="39" t="str">
        <f>IF(A30="","",INDEX('Registro Incidencias'!AI$5:AI$200,A30))</f>
        <v/>
      </c>
      <c r="M30" s="33" t="str">
        <f>IF(A30="","",INDEX('Registro Incidencias'!AD$5:AD$200,A30))</f>
        <v/>
      </c>
      <c r="N30" s="36" t="str">
        <f>IF(A30="","",INDEX('Registro Incidencias'!AE$5:AE$200,A30))</f>
        <v/>
      </c>
      <c r="O30" s="33" t="str">
        <f>IF(A30="","",INDEX('Registro Incidencias'!AK$5:AK$200,A30))</f>
        <v/>
      </c>
      <c r="P30" s="63" t="str">
        <f>IF(A30="","",INDEX('Registro Incidencias'!AU$5:AU$200,A30))</f>
        <v/>
      </c>
      <c r="Q30" s="32" t="str">
        <f>IF(A30="","",INDEX('Registro Incidencias'!AV$5:AV$200,A30))</f>
        <v/>
      </c>
      <c r="R30" s="32"/>
      <c r="S30" s="32"/>
    </row>
    <row r="31" spans="1:19" ht="21.75" customHeight="1" x14ac:dyDescent="0.25">
      <c r="A31" s="125" t="str">
        <f>COUNTIFS('Registro Incidencias'!S$5:S$200,"Adrián",'Registro Incidencias'!T$5:T$200,'📅 Semana'!B$9)&amp;" averías"</f>
        <v>0 averías</v>
      </c>
      <c r="B31" s="125"/>
      <c r="C31" s="125"/>
      <c r="D31" s="125"/>
      <c r="E31" s="125"/>
      <c r="F31" s="125"/>
      <c r="G31" s="125"/>
      <c r="H31" s="125"/>
      <c r="I31" s="125"/>
      <c r="J31" s="2" t="str">
        <f>"Verificadas: "&amp;COUNTIFS(A25:A30,"&lt;&gt;",P25:P30,"&lt;&gt;")&amp;"/"&amp;COUNTIF(A25:A30,"&lt;&gt;")</f>
        <v>Verificadas: 6/6</v>
      </c>
      <c r="K31" s="2"/>
      <c r="L31" s="2"/>
      <c r="M31" s="2"/>
      <c r="N31" s="2"/>
      <c r="O31" s="2"/>
      <c r="P31" s="2"/>
    </row>
    <row r="33" spans="1:19" ht="30" customHeight="1" x14ac:dyDescent="0.25">
      <c r="A33" s="126" t="str">
        <f>TEXT('📅 Semana'!B$10,"DDDD")&amp;"  —  "&amp;TEXT('📅 Semana'!B$10,"DD/MM/")&amp;"2026"</f>
        <v>jueves  —  19/02/2026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</row>
    <row r="34" spans="1:19" ht="30" customHeight="1" x14ac:dyDescent="0.25">
      <c r="A34" s="67" t="s">
        <v>85</v>
      </c>
      <c r="B34" s="67" t="s">
        <v>86</v>
      </c>
      <c r="C34" s="67" t="s">
        <v>18</v>
      </c>
      <c r="D34" s="67" t="s">
        <v>87</v>
      </c>
      <c r="E34" s="67" t="s">
        <v>88</v>
      </c>
      <c r="F34" s="67" t="s">
        <v>89</v>
      </c>
      <c r="G34" s="67" t="s">
        <v>13</v>
      </c>
      <c r="H34" s="67" t="s">
        <v>14</v>
      </c>
      <c r="I34" s="67" t="s">
        <v>90</v>
      </c>
      <c r="J34" s="67" t="s">
        <v>91</v>
      </c>
      <c r="K34" s="67" t="s">
        <v>92</v>
      </c>
      <c r="L34" s="67" t="s">
        <v>93</v>
      </c>
      <c r="M34" s="67" t="s">
        <v>94</v>
      </c>
      <c r="N34" s="67" t="s">
        <v>37</v>
      </c>
      <c r="O34" s="67" t="s">
        <v>43</v>
      </c>
      <c r="P34" s="61" t="s">
        <v>95</v>
      </c>
      <c r="Q34" s="61" t="s">
        <v>96</v>
      </c>
      <c r="R34" s="61" t="s">
        <v>97</v>
      </c>
      <c r="S34" s="61" t="s">
        <v>98</v>
      </c>
    </row>
    <row r="35" spans="1:19" ht="15" customHeight="1" x14ac:dyDescent="0.25">
      <c r="A35" s="25" t="str">
        <f>IFERROR(MATCH(1,INDEX(('Registro Incidencias'!AX$5:AX$200="Adrián"&amp;TEXT('📅 Semana'!B$10,"YYYYMMDD"))*('Registro Incidencias'!AY$5:AY$200=1),),0),"")</f>
        <v/>
      </c>
      <c r="B35" s="62" t="str">
        <f>IF(A35="","",INDEX('Registro Incidencias'!U$5:U$200,A35))</f>
        <v/>
      </c>
      <c r="C35" s="22" t="str">
        <f>IF(A35="","",INDEX('Registro Incidencias'!L$5:L$200,A35))</f>
        <v/>
      </c>
      <c r="D35" s="22" t="str">
        <f>IF(A35="","",INDEX('Registro Incidencias'!A$5:A$200,A35))</f>
        <v/>
      </c>
      <c r="E35" s="22" t="str">
        <f>IF(A35="","",INDEX('Registro Incidencias'!D$5:D$200,A35))</f>
        <v/>
      </c>
      <c r="F35" s="25" t="str">
        <f>IF(A35="","",INDEX('Registro Incidencias'!F$5:F$200,A35))</f>
        <v/>
      </c>
      <c r="G35" s="25" t="str">
        <f>IF(A35="","",INDEX('Registro Incidencias'!G$5:G$200,A35))</f>
        <v/>
      </c>
      <c r="H35" s="25" t="str">
        <f>IF(A35="","",INDEX('Registro Incidencias'!H$5:H$200,A35))</f>
        <v/>
      </c>
      <c r="I35" s="25" t="str">
        <f>IF(A35="","",INDEX('Registro Incidencias'!O$5:O$200,A35))</f>
        <v/>
      </c>
      <c r="J35" s="25" t="str">
        <f>IF(A35="","",INDEX('Registro Incidencias'!R$5:R$200,A35))</f>
        <v/>
      </c>
      <c r="K35" s="25" t="str">
        <f>IF(A35="","",INDEX('Registro Incidencias'!AF$5:AF$200,A35))</f>
        <v/>
      </c>
      <c r="L35" s="28" t="str">
        <f>IF(A35="","",INDEX('Registro Incidencias'!AI$5:AI$200,A35))</f>
        <v/>
      </c>
      <c r="M35" s="22" t="str">
        <f>IF(A35="","",INDEX('Registro Incidencias'!AD$5:AD$200,A35))</f>
        <v/>
      </c>
      <c r="N35" s="25" t="str">
        <f>IF(A35="","",INDEX('Registro Incidencias'!AE$5:AE$200,A35))</f>
        <v/>
      </c>
      <c r="O35" s="22" t="str">
        <f>IF(A35="","",INDEX('Registro Incidencias'!AK$5:AK$200,A35))</f>
        <v/>
      </c>
      <c r="P35" s="63" t="str">
        <f>IF(A35="","",INDEX('Registro Incidencias'!AU$5:AU$200,A35))</f>
        <v/>
      </c>
      <c r="Q35" s="32" t="str">
        <f>IF(A35="","",INDEX('Registro Incidencias'!AV$5:AV$200,A35))</f>
        <v/>
      </c>
      <c r="R35" s="32"/>
      <c r="S35" s="32"/>
    </row>
    <row r="36" spans="1:19" ht="15" customHeight="1" x14ac:dyDescent="0.25">
      <c r="A36" s="36" t="str">
        <f>IFERROR(MATCH(1,INDEX(('Registro Incidencias'!AX$5:AX$200="Adrián"&amp;TEXT('📅 Semana'!B$10,"YYYYMMDD"))*('Registro Incidencias'!AY$5:AY$200=2),),0),"")</f>
        <v/>
      </c>
      <c r="B36" s="64" t="str">
        <f>IF(A36="","",INDEX('Registro Incidencias'!U$5:U$200,A36))</f>
        <v/>
      </c>
      <c r="C36" s="33" t="str">
        <f>IF(A36="","",INDEX('Registro Incidencias'!L$5:L$200,A36))</f>
        <v/>
      </c>
      <c r="D36" s="33" t="str">
        <f>IF(A36="","",INDEX('Registro Incidencias'!A$5:A$200,A36))</f>
        <v/>
      </c>
      <c r="E36" s="33" t="str">
        <f>IF(A36="","",INDEX('Registro Incidencias'!D$5:D$200,A36))</f>
        <v/>
      </c>
      <c r="F36" s="36" t="str">
        <f>IF(A36="","",INDEX('Registro Incidencias'!F$5:F$200,A36))</f>
        <v/>
      </c>
      <c r="G36" s="36" t="str">
        <f>IF(A36="","",INDEX('Registro Incidencias'!G$5:G$200,A36))</f>
        <v/>
      </c>
      <c r="H36" s="36" t="str">
        <f>IF(A36="","",INDEX('Registro Incidencias'!H$5:H$200,A36))</f>
        <v/>
      </c>
      <c r="I36" s="36" t="str">
        <f>IF(A36="","",INDEX('Registro Incidencias'!O$5:O$200,A36))</f>
        <v/>
      </c>
      <c r="J36" s="36" t="str">
        <f>IF(A36="","",INDEX('Registro Incidencias'!R$5:R$200,A36))</f>
        <v/>
      </c>
      <c r="K36" s="36" t="str">
        <f>IF(A36="","",INDEX('Registro Incidencias'!AF$5:AF$200,A36))</f>
        <v/>
      </c>
      <c r="L36" s="39" t="str">
        <f>IF(A36="","",INDEX('Registro Incidencias'!AI$5:AI$200,A36))</f>
        <v/>
      </c>
      <c r="M36" s="33" t="str">
        <f>IF(A36="","",INDEX('Registro Incidencias'!AD$5:AD$200,A36))</f>
        <v/>
      </c>
      <c r="N36" s="36" t="str">
        <f>IF(A36="","",INDEX('Registro Incidencias'!AE$5:AE$200,A36))</f>
        <v/>
      </c>
      <c r="O36" s="33" t="str">
        <f>IF(A36="","",INDEX('Registro Incidencias'!AK$5:AK$200,A36))</f>
        <v/>
      </c>
      <c r="P36" s="63" t="str">
        <f>IF(A36="","",INDEX('Registro Incidencias'!AU$5:AU$200,A36))</f>
        <v/>
      </c>
      <c r="Q36" s="32" t="str">
        <f>IF(A36="","",INDEX('Registro Incidencias'!AV$5:AV$200,A36))</f>
        <v/>
      </c>
      <c r="R36" s="32"/>
      <c r="S36" s="32"/>
    </row>
    <row r="37" spans="1:19" ht="15" customHeight="1" x14ac:dyDescent="0.25">
      <c r="A37" s="25" t="str">
        <f>IFERROR(MATCH(1,INDEX(('Registro Incidencias'!AX$5:AX$200="Adrián"&amp;TEXT('📅 Semana'!B$10,"YYYYMMDD"))*('Registro Incidencias'!AY$5:AY$200=3),),0),"")</f>
        <v/>
      </c>
      <c r="B37" s="62" t="str">
        <f>IF(A37="","",INDEX('Registro Incidencias'!U$5:U$200,A37))</f>
        <v/>
      </c>
      <c r="C37" s="22" t="str">
        <f>IF(A37="","",INDEX('Registro Incidencias'!L$5:L$200,A37))</f>
        <v/>
      </c>
      <c r="D37" s="22" t="str">
        <f>IF(A37="","",INDEX('Registro Incidencias'!A$5:A$200,A37))</f>
        <v/>
      </c>
      <c r="E37" s="22" t="str">
        <f>IF(A37="","",INDEX('Registro Incidencias'!D$5:D$200,A37))</f>
        <v/>
      </c>
      <c r="F37" s="25" t="str">
        <f>IF(A37="","",INDEX('Registro Incidencias'!F$5:F$200,A37))</f>
        <v/>
      </c>
      <c r="G37" s="25" t="str">
        <f>IF(A37="","",INDEX('Registro Incidencias'!G$5:G$200,A37))</f>
        <v/>
      </c>
      <c r="H37" s="25" t="str">
        <f>IF(A37="","",INDEX('Registro Incidencias'!H$5:H$200,A37))</f>
        <v/>
      </c>
      <c r="I37" s="25" t="str">
        <f>IF(A37="","",INDEX('Registro Incidencias'!O$5:O$200,A37))</f>
        <v/>
      </c>
      <c r="J37" s="25" t="str">
        <f>IF(A37="","",INDEX('Registro Incidencias'!R$5:R$200,A37))</f>
        <v/>
      </c>
      <c r="K37" s="25" t="str">
        <f>IF(A37="","",INDEX('Registro Incidencias'!AF$5:AF$200,A37))</f>
        <v/>
      </c>
      <c r="L37" s="28" t="str">
        <f>IF(A37="","",INDEX('Registro Incidencias'!AI$5:AI$200,A37))</f>
        <v/>
      </c>
      <c r="M37" s="22" t="str">
        <f>IF(A37="","",INDEX('Registro Incidencias'!AD$5:AD$200,A37))</f>
        <v/>
      </c>
      <c r="N37" s="25" t="str">
        <f>IF(A37="","",INDEX('Registro Incidencias'!AE$5:AE$200,A37))</f>
        <v/>
      </c>
      <c r="O37" s="22" t="str">
        <f>IF(A37="","",INDEX('Registro Incidencias'!AK$5:AK$200,A37))</f>
        <v/>
      </c>
      <c r="P37" s="63" t="str">
        <f>IF(A37="","",INDEX('Registro Incidencias'!AU$5:AU$200,A37))</f>
        <v/>
      </c>
      <c r="Q37" s="32" t="str">
        <f>IF(A37="","",INDEX('Registro Incidencias'!AV$5:AV$200,A37))</f>
        <v/>
      </c>
      <c r="R37" s="32"/>
      <c r="S37" s="32"/>
    </row>
    <row r="38" spans="1:19" ht="15" customHeight="1" x14ac:dyDescent="0.25">
      <c r="A38" s="36" t="str">
        <f>IFERROR(MATCH(1,INDEX(('Registro Incidencias'!AX$5:AX$200="Adrián"&amp;TEXT('📅 Semana'!B$10,"YYYYMMDD"))*('Registro Incidencias'!AY$5:AY$200=4),),0),"")</f>
        <v/>
      </c>
      <c r="B38" s="64" t="str">
        <f>IF(A38="","",INDEX('Registro Incidencias'!U$5:U$200,A38))</f>
        <v/>
      </c>
      <c r="C38" s="33" t="str">
        <f>IF(A38="","",INDEX('Registro Incidencias'!L$5:L$200,A38))</f>
        <v/>
      </c>
      <c r="D38" s="33" t="str">
        <f>IF(A38="","",INDEX('Registro Incidencias'!A$5:A$200,A38))</f>
        <v/>
      </c>
      <c r="E38" s="33" t="str">
        <f>IF(A38="","",INDEX('Registro Incidencias'!D$5:D$200,A38))</f>
        <v/>
      </c>
      <c r="F38" s="36" t="str">
        <f>IF(A38="","",INDEX('Registro Incidencias'!F$5:F$200,A38))</f>
        <v/>
      </c>
      <c r="G38" s="36" t="str">
        <f>IF(A38="","",INDEX('Registro Incidencias'!G$5:G$200,A38))</f>
        <v/>
      </c>
      <c r="H38" s="36" t="str">
        <f>IF(A38="","",INDEX('Registro Incidencias'!H$5:H$200,A38))</f>
        <v/>
      </c>
      <c r="I38" s="36" t="str">
        <f>IF(A38="","",INDEX('Registro Incidencias'!O$5:O$200,A38))</f>
        <v/>
      </c>
      <c r="J38" s="36" t="str">
        <f>IF(A38="","",INDEX('Registro Incidencias'!R$5:R$200,A38))</f>
        <v/>
      </c>
      <c r="K38" s="36" t="str">
        <f>IF(A38="","",INDEX('Registro Incidencias'!AF$5:AF$200,A38))</f>
        <v/>
      </c>
      <c r="L38" s="39" t="str">
        <f>IF(A38="","",INDEX('Registro Incidencias'!AI$5:AI$200,A38))</f>
        <v/>
      </c>
      <c r="M38" s="33" t="str">
        <f>IF(A38="","",INDEX('Registro Incidencias'!AD$5:AD$200,A38))</f>
        <v/>
      </c>
      <c r="N38" s="36" t="str">
        <f>IF(A38="","",INDEX('Registro Incidencias'!AE$5:AE$200,A38))</f>
        <v/>
      </c>
      <c r="O38" s="33" t="str">
        <f>IF(A38="","",INDEX('Registro Incidencias'!AK$5:AK$200,A38))</f>
        <v/>
      </c>
      <c r="P38" s="63" t="str">
        <f>IF(A38="","",INDEX('Registro Incidencias'!AU$5:AU$200,A38))</f>
        <v/>
      </c>
      <c r="Q38" s="32" t="str">
        <f>IF(A38="","",INDEX('Registro Incidencias'!AV$5:AV$200,A38))</f>
        <v/>
      </c>
      <c r="R38" s="32"/>
      <c r="S38" s="32"/>
    </row>
    <row r="39" spans="1:19" ht="15" customHeight="1" x14ac:dyDescent="0.25">
      <c r="A39" s="25" t="str">
        <f>IFERROR(MATCH(1,INDEX(('Registro Incidencias'!AX$5:AX$200="Adrián"&amp;TEXT('📅 Semana'!B$10,"YYYYMMDD"))*('Registro Incidencias'!AY$5:AY$200=5),),0),"")</f>
        <v/>
      </c>
      <c r="B39" s="62" t="str">
        <f>IF(A39="","",INDEX('Registro Incidencias'!U$5:U$200,A39))</f>
        <v/>
      </c>
      <c r="C39" s="22" t="str">
        <f>IF(A39="","",INDEX('Registro Incidencias'!L$5:L$200,A39))</f>
        <v/>
      </c>
      <c r="D39" s="22" t="str">
        <f>IF(A39="","",INDEX('Registro Incidencias'!A$5:A$200,A39))</f>
        <v/>
      </c>
      <c r="E39" s="22" t="str">
        <f>IF(A39="","",INDEX('Registro Incidencias'!D$5:D$200,A39))</f>
        <v/>
      </c>
      <c r="F39" s="25" t="str">
        <f>IF(A39="","",INDEX('Registro Incidencias'!F$5:F$200,A39))</f>
        <v/>
      </c>
      <c r="G39" s="25" t="str">
        <f>IF(A39="","",INDEX('Registro Incidencias'!G$5:G$200,A39))</f>
        <v/>
      </c>
      <c r="H39" s="25" t="str">
        <f>IF(A39="","",INDEX('Registro Incidencias'!H$5:H$200,A39))</f>
        <v/>
      </c>
      <c r="I39" s="25" t="str">
        <f>IF(A39="","",INDEX('Registro Incidencias'!O$5:O$200,A39))</f>
        <v/>
      </c>
      <c r="J39" s="25" t="str">
        <f>IF(A39="","",INDEX('Registro Incidencias'!R$5:R$200,A39))</f>
        <v/>
      </c>
      <c r="K39" s="25" t="str">
        <f>IF(A39="","",INDEX('Registro Incidencias'!AF$5:AF$200,A39))</f>
        <v/>
      </c>
      <c r="L39" s="28" t="str">
        <f>IF(A39="","",INDEX('Registro Incidencias'!AI$5:AI$200,A39))</f>
        <v/>
      </c>
      <c r="M39" s="22" t="str">
        <f>IF(A39="","",INDEX('Registro Incidencias'!AD$5:AD$200,A39))</f>
        <v/>
      </c>
      <c r="N39" s="25" t="str">
        <f>IF(A39="","",INDEX('Registro Incidencias'!AE$5:AE$200,A39))</f>
        <v/>
      </c>
      <c r="O39" s="22" t="str">
        <f>IF(A39="","",INDEX('Registro Incidencias'!AK$5:AK$200,A39))</f>
        <v/>
      </c>
      <c r="P39" s="63" t="str">
        <f>IF(A39="","",INDEX('Registro Incidencias'!AU$5:AU$200,A39))</f>
        <v/>
      </c>
      <c r="Q39" s="32" t="str">
        <f>IF(A39="","",INDEX('Registro Incidencias'!AV$5:AV$200,A39))</f>
        <v/>
      </c>
      <c r="R39" s="32"/>
      <c r="S39" s="32"/>
    </row>
    <row r="40" spans="1:19" ht="15" customHeight="1" x14ac:dyDescent="0.25">
      <c r="A40" s="36" t="str">
        <f>IFERROR(MATCH(1,INDEX(('Registro Incidencias'!AX$5:AX$200="Adrián"&amp;TEXT('📅 Semana'!B$10,"YYYYMMDD"))*('Registro Incidencias'!AY$5:AY$200=6),),0),"")</f>
        <v/>
      </c>
      <c r="B40" s="64" t="str">
        <f>IF(A40="","",INDEX('Registro Incidencias'!U$5:U$200,A40))</f>
        <v/>
      </c>
      <c r="C40" s="33" t="str">
        <f>IF(A40="","",INDEX('Registro Incidencias'!L$5:L$200,A40))</f>
        <v/>
      </c>
      <c r="D40" s="33" t="str">
        <f>IF(A40="","",INDEX('Registro Incidencias'!A$5:A$200,A40))</f>
        <v/>
      </c>
      <c r="E40" s="33" t="str">
        <f>IF(A40="","",INDEX('Registro Incidencias'!D$5:D$200,A40))</f>
        <v/>
      </c>
      <c r="F40" s="36" t="str">
        <f>IF(A40="","",INDEX('Registro Incidencias'!F$5:F$200,A40))</f>
        <v/>
      </c>
      <c r="G40" s="36" t="str">
        <f>IF(A40="","",INDEX('Registro Incidencias'!G$5:G$200,A40))</f>
        <v/>
      </c>
      <c r="H40" s="36" t="str">
        <f>IF(A40="","",INDEX('Registro Incidencias'!H$5:H$200,A40))</f>
        <v/>
      </c>
      <c r="I40" s="36" t="str">
        <f>IF(A40="","",INDEX('Registro Incidencias'!O$5:O$200,A40))</f>
        <v/>
      </c>
      <c r="J40" s="36" t="str">
        <f>IF(A40="","",INDEX('Registro Incidencias'!R$5:R$200,A40))</f>
        <v/>
      </c>
      <c r="K40" s="36" t="str">
        <f>IF(A40="","",INDEX('Registro Incidencias'!AF$5:AF$200,A40))</f>
        <v/>
      </c>
      <c r="L40" s="39" t="str">
        <f>IF(A40="","",INDEX('Registro Incidencias'!AI$5:AI$200,A40))</f>
        <v/>
      </c>
      <c r="M40" s="33" t="str">
        <f>IF(A40="","",INDEX('Registro Incidencias'!AD$5:AD$200,A40))</f>
        <v/>
      </c>
      <c r="N40" s="36" t="str">
        <f>IF(A40="","",INDEX('Registro Incidencias'!AE$5:AE$200,A40))</f>
        <v/>
      </c>
      <c r="O40" s="33" t="str">
        <f>IF(A40="","",INDEX('Registro Incidencias'!AK$5:AK$200,A40))</f>
        <v/>
      </c>
      <c r="P40" s="63" t="str">
        <f>IF(A40="","",INDEX('Registro Incidencias'!AU$5:AU$200,A40))</f>
        <v/>
      </c>
      <c r="Q40" s="32" t="str">
        <f>IF(A40="","",INDEX('Registro Incidencias'!AV$5:AV$200,A40))</f>
        <v/>
      </c>
      <c r="R40" s="32"/>
      <c r="S40" s="32"/>
    </row>
    <row r="41" spans="1:19" ht="21.75" customHeight="1" x14ac:dyDescent="0.25">
      <c r="A41" s="127" t="str">
        <f>COUNTIFS('Registro Incidencias'!S$5:S$200,"Adrián",'Registro Incidencias'!T$5:T$200,'📅 Semana'!B$10)&amp;" averías"</f>
        <v>0 averías</v>
      </c>
      <c r="B41" s="127"/>
      <c r="C41" s="127"/>
      <c r="D41" s="127"/>
      <c r="E41" s="127"/>
      <c r="F41" s="127"/>
      <c r="G41" s="127"/>
      <c r="H41" s="127"/>
      <c r="I41" s="127"/>
      <c r="J41" s="2" t="str">
        <f>"Verificadas: "&amp;COUNTIFS(A35:A40,"&lt;&gt;",P35:P40,"&lt;&gt;")&amp;"/"&amp;COUNTIF(A35:A40,"&lt;&gt;")</f>
        <v>Verificadas: 6/6</v>
      </c>
      <c r="K41" s="2"/>
      <c r="L41" s="2"/>
      <c r="M41" s="2"/>
      <c r="N41" s="2"/>
      <c r="O41" s="2"/>
      <c r="P41" s="2"/>
    </row>
    <row r="43" spans="1:19" ht="30" customHeight="1" x14ac:dyDescent="0.25">
      <c r="A43" s="128" t="str">
        <f>TEXT('📅 Semana'!B$11,"DDDD")&amp;"  —  "&amp;TEXT('📅 Semana'!B$11,"DD/MM/")&amp;"2026"</f>
        <v>viernes  —  20/02/2026</v>
      </c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</row>
    <row r="44" spans="1:19" ht="30" customHeight="1" x14ac:dyDescent="0.25">
      <c r="A44" s="68" t="s">
        <v>85</v>
      </c>
      <c r="B44" s="68" t="s">
        <v>86</v>
      </c>
      <c r="C44" s="68" t="s">
        <v>18</v>
      </c>
      <c r="D44" s="68" t="s">
        <v>87</v>
      </c>
      <c r="E44" s="68" t="s">
        <v>88</v>
      </c>
      <c r="F44" s="68" t="s">
        <v>89</v>
      </c>
      <c r="G44" s="68" t="s">
        <v>13</v>
      </c>
      <c r="H44" s="68" t="s">
        <v>14</v>
      </c>
      <c r="I44" s="68" t="s">
        <v>90</v>
      </c>
      <c r="J44" s="68" t="s">
        <v>91</v>
      </c>
      <c r="K44" s="68" t="s">
        <v>92</v>
      </c>
      <c r="L44" s="68" t="s">
        <v>93</v>
      </c>
      <c r="M44" s="68" t="s">
        <v>94</v>
      </c>
      <c r="N44" s="68" t="s">
        <v>37</v>
      </c>
      <c r="O44" s="68" t="s">
        <v>43</v>
      </c>
      <c r="P44" s="61" t="s">
        <v>95</v>
      </c>
      <c r="Q44" s="61" t="s">
        <v>96</v>
      </c>
      <c r="R44" s="61" t="s">
        <v>97</v>
      </c>
      <c r="S44" s="61" t="s">
        <v>98</v>
      </c>
    </row>
    <row r="45" spans="1:19" ht="15" customHeight="1" x14ac:dyDescent="0.25">
      <c r="A45" s="25" t="str">
        <f>IFERROR(MATCH(1,INDEX(('Registro Incidencias'!AX$5:AX$200="Adrián"&amp;TEXT('📅 Semana'!B$11,"YYYYMMDD"))*('Registro Incidencias'!AY$5:AY$200=1),),0),"")</f>
        <v/>
      </c>
      <c r="B45" s="62" t="str">
        <f>IF(A45="","",INDEX('Registro Incidencias'!U$5:U$200,A45))</f>
        <v/>
      </c>
      <c r="C45" s="22" t="str">
        <f>IF(A45="","",INDEX('Registro Incidencias'!L$5:L$200,A45))</f>
        <v/>
      </c>
      <c r="D45" s="22" t="str">
        <f>IF(A45="","",INDEX('Registro Incidencias'!A$5:A$200,A45))</f>
        <v/>
      </c>
      <c r="E45" s="22" t="str">
        <f>IF(A45="","",INDEX('Registro Incidencias'!D$5:D$200,A45))</f>
        <v/>
      </c>
      <c r="F45" s="25" t="str">
        <f>IF(A45="","",INDEX('Registro Incidencias'!F$5:F$200,A45))</f>
        <v/>
      </c>
      <c r="G45" s="25" t="str">
        <f>IF(A45="","",INDEX('Registro Incidencias'!G$5:G$200,A45))</f>
        <v/>
      </c>
      <c r="H45" s="25" t="str">
        <f>IF(A45="","",INDEX('Registro Incidencias'!H$5:H$200,A45))</f>
        <v/>
      </c>
      <c r="I45" s="25" t="str">
        <f>IF(A45="","",INDEX('Registro Incidencias'!O$5:O$200,A45))</f>
        <v/>
      </c>
      <c r="J45" s="25" t="str">
        <f>IF(A45="","",INDEX('Registro Incidencias'!R$5:R$200,A45))</f>
        <v/>
      </c>
      <c r="K45" s="25" t="str">
        <f>IF(A45="","",INDEX('Registro Incidencias'!AF$5:AF$200,A45))</f>
        <v/>
      </c>
      <c r="L45" s="28" t="str">
        <f>IF(A45="","",INDEX('Registro Incidencias'!AI$5:AI$200,A45))</f>
        <v/>
      </c>
      <c r="M45" s="22" t="str">
        <f>IF(A45="","",INDEX('Registro Incidencias'!AD$5:AD$200,A45))</f>
        <v/>
      </c>
      <c r="N45" s="25" t="str">
        <f>IF(A45="","",INDEX('Registro Incidencias'!AE$5:AE$200,A45))</f>
        <v/>
      </c>
      <c r="O45" s="22" t="str">
        <f>IF(A45="","",INDEX('Registro Incidencias'!AK$5:AK$200,A45))</f>
        <v/>
      </c>
      <c r="P45" s="63" t="str">
        <f>IF(A45="","",INDEX('Registro Incidencias'!AU$5:AU$200,A45))</f>
        <v/>
      </c>
      <c r="Q45" s="32" t="str">
        <f>IF(A45="","",INDEX('Registro Incidencias'!AV$5:AV$200,A45))</f>
        <v/>
      </c>
      <c r="R45" s="32"/>
      <c r="S45" s="32"/>
    </row>
    <row r="46" spans="1:19" ht="15" customHeight="1" x14ac:dyDescent="0.25">
      <c r="A46" s="36" t="str">
        <f>IFERROR(MATCH(1,INDEX(('Registro Incidencias'!AX$5:AX$200="Adrián"&amp;TEXT('📅 Semana'!B$11,"YYYYMMDD"))*('Registro Incidencias'!AY$5:AY$200=2),),0),"")</f>
        <v/>
      </c>
      <c r="B46" s="64" t="str">
        <f>IF(A46="","",INDEX('Registro Incidencias'!U$5:U$200,A46))</f>
        <v/>
      </c>
      <c r="C46" s="33" t="str">
        <f>IF(A46="","",INDEX('Registro Incidencias'!L$5:L$200,A46))</f>
        <v/>
      </c>
      <c r="D46" s="33" t="str">
        <f>IF(A46="","",INDEX('Registro Incidencias'!A$5:A$200,A46))</f>
        <v/>
      </c>
      <c r="E46" s="33" t="str">
        <f>IF(A46="","",INDEX('Registro Incidencias'!D$5:D$200,A46))</f>
        <v/>
      </c>
      <c r="F46" s="36" t="str">
        <f>IF(A46="","",INDEX('Registro Incidencias'!F$5:F$200,A46))</f>
        <v/>
      </c>
      <c r="G46" s="36" t="str">
        <f>IF(A46="","",INDEX('Registro Incidencias'!G$5:G$200,A46))</f>
        <v/>
      </c>
      <c r="H46" s="36" t="str">
        <f>IF(A46="","",INDEX('Registro Incidencias'!H$5:H$200,A46))</f>
        <v/>
      </c>
      <c r="I46" s="36" t="str">
        <f>IF(A46="","",INDEX('Registro Incidencias'!O$5:O$200,A46))</f>
        <v/>
      </c>
      <c r="J46" s="36" t="str">
        <f>IF(A46="","",INDEX('Registro Incidencias'!R$5:R$200,A46))</f>
        <v/>
      </c>
      <c r="K46" s="36" t="str">
        <f>IF(A46="","",INDEX('Registro Incidencias'!AF$5:AF$200,A46))</f>
        <v/>
      </c>
      <c r="L46" s="39" t="str">
        <f>IF(A46="","",INDEX('Registro Incidencias'!AI$5:AI$200,A46))</f>
        <v/>
      </c>
      <c r="M46" s="33" t="str">
        <f>IF(A46="","",INDEX('Registro Incidencias'!AD$5:AD$200,A46))</f>
        <v/>
      </c>
      <c r="N46" s="36" t="str">
        <f>IF(A46="","",INDEX('Registro Incidencias'!AE$5:AE$200,A46))</f>
        <v/>
      </c>
      <c r="O46" s="33" t="str">
        <f>IF(A46="","",INDEX('Registro Incidencias'!AK$5:AK$200,A46))</f>
        <v/>
      </c>
      <c r="P46" s="63" t="str">
        <f>IF(A46="","",INDEX('Registro Incidencias'!AU$5:AU$200,A46))</f>
        <v/>
      </c>
      <c r="Q46" s="32" t="str">
        <f>IF(A46="","",INDEX('Registro Incidencias'!AV$5:AV$200,A46))</f>
        <v/>
      </c>
      <c r="R46" s="32"/>
      <c r="S46" s="32"/>
    </row>
    <row r="47" spans="1:19" ht="15" customHeight="1" x14ac:dyDescent="0.25">
      <c r="A47" s="25" t="str">
        <f>IFERROR(MATCH(1,INDEX(('Registro Incidencias'!AX$5:AX$200="Adrián"&amp;TEXT('📅 Semana'!B$11,"YYYYMMDD"))*('Registro Incidencias'!AY$5:AY$200=3),),0),"")</f>
        <v/>
      </c>
      <c r="B47" s="62" t="str">
        <f>IF(A47="","",INDEX('Registro Incidencias'!U$5:U$200,A47))</f>
        <v/>
      </c>
      <c r="C47" s="22" t="str">
        <f>IF(A47="","",INDEX('Registro Incidencias'!L$5:L$200,A47))</f>
        <v/>
      </c>
      <c r="D47" s="22" t="str">
        <f>IF(A47="","",INDEX('Registro Incidencias'!A$5:A$200,A47))</f>
        <v/>
      </c>
      <c r="E47" s="22" t="str">
        <f>IF(A47="","",INDEX('Registro Incidencias'!D$5:D$200,A47))</f>
        <v/>
      </c>
      <c r="F47" s="25" t="str">
        <f>IF(A47="","",INDEX('Registro Incidencias'!F$5:F$200,A47))</f>
        <v/>
      </c>
      <c r="G47" s="25" t="str">
        <f>IF(A47="","",INDEX('Registro Incidencias'!G$5:G$200,A47))</f>
        <v/>
      </c>
      <c r="H47" s="25" t="str">
        <f>IF(A47="","",INDEX('Registro Incidencias'!H$5:H$200,A47))</f>
        <v/>
      </c>
      <c r="I47" s="25" t="str">
        <f>IF(A47="","",INDEX('Registro Incidencias'!O$5:O$200,A47))</f>
        <v/>
      </c>
      <c r="J47" s="25" t="str">
        <f>IF(A47="","",INDEX('Registro Incidencias'!R$5:R$200,A47))</f>
        <v/>
      </c>
      <c r="K47" s="25" t="str">
        <f>IF(A47="","",INDEX('Registro Incidencias'!AF$5:AF$200,A47))</f>
        <v/>
      </c>
      <c r="L47" s="28" t="str">
        <f>IF(A47="","",INDEX('Registro Incidencias'!AI$5:AI$200,A47))</f>
        <v/>
      </c>
      <c r="M47" s="22" t="str">
        <f>IF(A47="","",INDEX('Registro Incidencias'!AD$5:AD$200,A47))</f>
        <v/>
      </c>
      <c r="N47" s="25" t="str">
        <f>IF(A47="","",INDEX('Registro Incidencias'!AE$5:AE$200,A47))</f>
        <v/>
      </c>
      <c r="O47" s="22" t="str">
        <f>IF(A47="","",INDEX('Registro Incidencias'!AK$5:AK$200,A47))</f>
        <v/>
      </c>
      <c r="P47" s="63" t="str">
        <f>IF(A47="","",INDEX('Registro Incidencias'!AU$5:AU$200,A47))</f>
        <v/>
      </c>
      <c r="Q47" s="32" t="str">
        <f>IF(A47="","",INDEX('Registro Incidencias'!AV$5:AV$200,A47))</f>
        <v/>
      </c>
      <c r="R47" s="32"/>
      <c r="S47" s="32"/>
    </row>
    <row r="48" spans="1:19" ht="15" customHeight="1" x14ac:dyDescent="0.25">
      <c r="A48" s="36" t="str">
        <f>IFERROR(MATCH(1,INDEX(('Registro Incidencias'!AX$5:AX$200="Adrián"&amp;TEXT('📅 Semana'!B$11,"YYYYMMDD"))*('Registro Incidencias'!AY$5:AY$200=4),),0),"")</f>
        <v/>
      </c>
      <c r="B48" s="64" t="str">
        <f>IF(A48="","",INDEX('Registro Incidencias'!U$5:U$200,A48))</f>
        <v/>
      </c>
      <c r="C48" s="33" t="str">
        <f>IF(A48="","",INDEX('Registro Incidencias'!L$5:L$200,A48))</f>
        <v/>
      </c>
      <c r="D48" s="33" t="str">
        <f>IF(A48="","",INDEX('Registro Incidencias'!A$5:A$200,A48))</f>
        <v/>
      </c>
      <c r="E48" s="33" t="str">
        <f>IF(A48="","",INDEX('Registro Incidencias'!D$5:D$200,A48))</f>
        <v/>
      </c>
      <c r="F48" s="36" t="str">
        <f>IF(A48="","",INDEX('Registro Incidencias'!F$5:F$200,A48))</f>
        <v/>
      </c>
      <c r="G48" s="36" t="str">
        <f>IF(A48="","",INDEX('Registro Incidencias'!G$5:G$200,A48))</f>
        <v/>
      </c>
      <c r="H48" s="36" t="str">
        <f>IF(A48="","",INDEX('Registro Incidencias'!H$5:H$200,A48))</f>
        <v/>
      </c>
      <c r="I48" s="36" t="str">
        <f>IF(A48="","",INDEX('Registro Incidencias'!O$5:O$200,A48))</f>
        <v/>
      </c>
      <c r="J48" s="36" t="str">
        <f>IF(A48="","",INDEX('Registro Incidencias'!R$5:R$200,A48))</f>
        <v/>
      </c>
      <c r="K48" s="36" t="str">
        <f>IF(A48="","",INDEX('Registro Incidencias'!AF$5:AF$200,A48))</f>
        <v/>
      </c>
      <c r="L48" s="39" t="str">
        <f>IF(A48="","",INDEX('Registro Incidencias'!AI$5:AI$200,A48))</f>
        <v/>
      </c>
      <c r="M48" s="33" t="str">
        <f>IF(A48="","",INDEX('Registro Incidencias'!AD$5:AD$200,A48))</f>
        <v/>
      </c>
      <c r="N48" s="36" t="str">
        <f>IF(A48="","",INDEX('Registro Incidencias'!AE$5:AE$200,A48))</f>
        <v/>
      </c>
      <c r="O48" s="33" t="str">
        <f>IF(A48="","",INDEX('Registro Incidencias'!AK$5:AK$200,A48))</f>
        <v/>
      </c>
      <c r="P48" s="63" t="str">
        <f>IF(A48="","",INDEX('Registro Incidencias'!AU$5:AU$200,A48))</f>
        <v/>
      </c>
      <c r="Q48" s="32" t="str">
        <f>IF(A48="","",INDEX('Registro Incidencias'!AV$5:AV$200,A48))</f>
        <v/>
      </c>
      <c r="R48" s="32"/>
      <c r="S48" s="32"/>
    </row>
    <row r="49" spans="1:19" ht="15" customHeight="1" x14ac:dyDescent="0.25">
      <c r="A49" s="25" t="str">
        <f>IFERROR(MATCH(1,INDEX(('Registro Incidencias'!AX$5:AX$200="Adrián"&amp;TEXT('📅 Semana'!B$11,"YYYYMMDD"))*('Registro Incidencias'!AY$5:AY$200=5),),0),"")</f>
        <v/>
      </c>
      <c r="B49" s="62" t="str">
        <f>IF(A49="","",INDEX('Registro Incidencias'!U$5:U$200,A49))</f>
        <v/>
      </c>
      <c r="C49" s="22" t="str">
        <f>IF(A49="","",INDEX('Registro Incidencias'!L$5:L$200,A49))</f>
        <v/>
      </c>
      <c r="D49" s="22" t="str">
        <f>IF(A49="","",INDEX('Registro Incidencias'!A$5:A$200,A49))</f>
        <v/>
      </c>
      <c r="E49" s="22" t="str">
        <f>IF(A49="","",INDEX('Registro Incidencias'!D$5:D$200,A49))</f>
        <v/>
      </c>
      <c r="F49" s="25" t="str">
        <f>IF(A49="","",INDEX('Registro Incidencias'!F$5:F$200,A49))</f>
        <v/>
      </c>
      <c r="G49" s="25" t="str">
        <f>IF(A49="","",INDEX('Registro Incidencias'!G$5:G$200,A49))</f>
        <v/>
      </c>
      <c r="H49" s="25" t="str">
        <f>IF(A49="","",INDEX('Registro Incidencias'!H$5:H$200,A49))</f>
        <v/>
      </c>
      <c r="I49" s="25" t="str">
        <f>IF(A49="","",INDEX('Registro Incidencias'!O$5:O$200,A49))</f>
        <v/>
      </c>
      <c r="J49" s="25" t="str">
        <f>IF(A49="","",INDEX('Registro Incidencias'!R$5:R$200,A49))</f>
        <v/>
      </c>
      <c r="K49" s="25" t="str">
        <f>IF(A49="","",INDEX('Registro Incidencias'!AF$5:AF$200,A49))</f>
        <v/>
      </c>
      <c r="L49" s="28" t="str">
        <f>IF(A49="","",INDEX('Registro Incidencias'!AI$5:AI$200,A49))</f>
        <v/>
      </c>
      <c r="M49" s="22" t="str">
        <f>IF(A49="","",INDEX('Registro Incidencias'!AD$5:AD$200,A49))</f>
        <v/>
      </c>
      <c r="N49" s="25" t="str">
        <f>IF(A49="","",INDEX('Registro Incidencias'!AE$5:AE$200,A49))</f>
        <v/>
      </c>
      <c r="O49" s="22" t="str">
        <f>IF(A49="","",INDEX('Registro Incidencias'!AK$5:AK$200,A49))</f>
        <v/>
      </c>
      <c r="P49" s="63" t="str">
        <f>IF(A49="","",INDEX('Registro Incidencias'!AU$5:AU$200,A49))</f>
        <v/>
      </c>
      <c r="Q49" s="32" t="str">
        <f>IF(A49="","",INDEX('Registro Incidencias'!AV$5:AV$200,A49))</f>
        <v/>
      </c>
      <c r="R49" s="32"/>
      <c r="S49" s="32"/>
    </row>
    <row r="50" spans="1:19" ht="15" customHeight="1" x14ac:dyDescent="0.25">
      <c r="A50" s="36" t="str">
        <f>IFERROR(MATCH(1,INDEX(('Registro Incidencias'!AX$5:AX$200="Adrián"&amp;TEXT('📅 Semana'!B$11,"YYYYMMDD"))*('Registro Incidencias'!AY$5:AY$200=6),),0),"")</f>
        <v/>
      </c>
      <c r="B50" s="64" t="str">
        <f>IF(A50="","",INDEX('Registro Incidencias'!U$5:U$200,A50))</f>
        <v/>
      </c>
      <c r="C50" s="33" t="str">
        <f>IF(A50="","",INDEX('Registro Incidencias'!L$5:L$200,A50))</f>
        <v/>
      </c>
      <c r="D50" s="33" t="str">
        <f>IF(A50="","",INDEX('Registro Incidencias'!A$5:A$200,A50))</f>
        <v/>
      </c>
      <c r="E50" s="33" t="str">
        <f>IF(A50="","",INDEX('Registro Incidencias'!D$5:D$200,A50))</f>
        <v/>
      </c>
      <c r="F50" s="36" t="str">
        <f>IF(A50="","",INDEX('Registro Incidencias'!F$5:F$200,A50))</f>
        <v/>
      </c>
      <c r="G50" s="36" t="str">
        <f>IF(A50="","",INDEX('Registro Incidencias'!G$5:G$200,A50))</f>
        <v/>
      </c>
      <c r="H50" s="36" t="str">
        <f>IF(A50="","",INDEX('Registro Incidencias'!H$5:H$200,A50))</f>
        <v/>
      </c>
      <c r="I50" s="36" t="str">
        <f>IF(A50="","",INDEX('Registro Incidencias'!O$5:O$200,A50))</f>
        <v/>
      </c>
      <c r="J50" s="36" t="str">
        <f>IF(A50="","",INDEX('Registro Incidencias'!R$5:R$200,A50))</f>
        <v/>
      </c>
      <c r="K50" s="36" t="str">
        <f>IF(A50="","",INDEX('Registro Incidencias'!AF$5:AF$200,A50))</f>
        <v/>
      </c>
      <c r="L50" s="39" t="str">
        <f>IF(A50="","",INDEX('Registro Incidencias'!AI$5:AI$200,A50))</f>
        <v/>
      </c>
      <c r="M50" s="33" t="str">
        <f>IF(A50="","",INDEX('Registro Incidencias'!AD$5:AD$200,A50))</f>
        <v/>
      </c>
      <c r="N50" s="36" t="str">
        <f>IF(A50="","",INDEX('Registro Incidencias'!AE$5:AE$200,A50))</f>
        <v/>
      </c>
      <c r="O50" s="33" t="str">
        <f>IF(A50="","",INDEX('Registro Incidencias'!AK$5:AK$200,A50))</f>
        <v/>
      </c>
      <c r="P50" s="63" t="str">
        <f>IF(A50="","",INDEX('Registro Incidencias'!AU$5:AU$200,A50))</f>
        <v/>
      </c>
      <c r="Q50" s="32" t="str">
        <f>IF(A50="","",INDEX('Registro Incidencias'!AV$5:AV$200,A50))</f>
        <v/>
      </c>
      <c r="R50" s="32"/>
      <c r="S50" s="32"/>
    </row>
    <row r="51" spans="1:19" ht="21.75" customHeight="1" x14ac:dyDescent="0.25">
      <c r="A51" s="129" t="str">
        <f>COUNTIFS('Registro Incidencias'!S$5:S$200,"Adrián",'Registro Incidencias'!T$5:T$200,'📅 Semana'!B$11)&amp;" averías"</f>
        <v>0 averías</v>
      </c>
      <c r="B51" s="129"/>
      <c r="C51" s="129"/>
      <c r="D51" s="129"/>
      <c r="E51" s="129"/>
      <c r="F51" s="129"/>
      <c r="G51" s="129"/>
      <c r="H51" s="129"/>
      <c r="I51" s="129"/>
      <c r="J51" s="2" t="str">
        <f>"Verificadas: "&amp;COUNTIFS(A45:A50,"&lt;&gt;",P45:P50,"&lt;&gt;")&amp;"/"&amp;COUNTIF(A45:A50,"&lt;&gt;")</f>
        <v>Verificadas: 6/6</v>
      </c>
      <c r="K51" s="2"/>
      <c r="L51" s="2"/>
      <c r="M51" s="2"/>
      <c r="N51" s="2"/>
      <c r="O51" s="2"/>
      <c r="P51" s="2"/>
    </row>
    <row r="53" spans="1:19" ht="30" customHeight="1" x14ac:dyDescent="0.25">
      <c r="A53" s="130" t="str">
        <f>TEXT('📅 Semana'!B$12,"DDDD")&amp;"  —  "&amp;TEXT('📅 Semana'!B$12,"DD/MM/")&amp;"2026"</f>
        <v>sábado  —  21/02/2026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</row>
    <row r="54" spans="1:19" ht="30" customHeight="1" x14ac:dyDescent="0.25">
      <c r="A54" s="69" t="s">
        <v>85</v>
      </c>
      <c r="B54" s="69" t="s">
        <v>86</v>
      </c>
      <c r="C54" s="69" t="s">
        <v>18</v>
      </c>
      <c r="D54" s="69" t="s">
        <v>87</v>
      </c>
      <c r="E54" s="69" t="s">
        <v>88</v>
      </c>
      <c r="F54" s="69" t="s">
        <v>89</v>
      </c>
      <c r="G54" s="69" t="s">
        <v>13</v>
      </c>
      <c r="H54" s="69" t="s">
        <v>14</v>
      </c>
      <c r="I54" s="69" t="s">
        <v>90</v>
      </c>
      <c r="J54" s="69" t="s">
        <v>91</v>
      </c>
      <c r="K54" s="69" t="s">
        <v>92</v>
      </c>
      <c r="L54" s="69" t="s">
        <v>93</v>
      </c>
      <c r="M54" s="69" t="s">
        <v>94</v>
      </c>
      <c r="N54" s="69" t="s">
        <v>37</v>
      </c>
      <c r="O54" s="69" t="s">
        <v>43</v>
      </c>
      <c r="P54" s="61" t="s">
        <v>95</v>
      </c>
      <c r="Q54" s="61" t="s">
        <v>96</v>
      </c>
      <c r="R54" s="61" t="s">
        <v>97</v>
      </c>
      <c r="S54" s="61" t="s">
        <v>98</v>
      </c>
    </row>
    <row r="55" spans="1:19" ht="15" customHeight="1" x14ac:dyDescent="0.25">
      <c r="A55" s="25" t="str">
        <f>IFERROR(MATCH(1,INDEX(('Registro Incidencias'!AX$5:AX$200="Adrián"&amp;TEXT('📅 Semana'!B$12,"YYYYMMDD"))*('Registro Incidencias'!AY$5:AY$200=1),),0),"")</f>
        <v/>
      </c>
      <c r="B55" s="62" t="str">
        <f>IF(A55="","",INDEX('Registro Incidencias'!U$5:U$200,A55))</f>
        <v/>
      </c>
      <c r="C55" s="22" t="str">
        <f>IF(A55="","",INDEX('Registro Incidencias'!L$5:L$200,A55))</f>
        <v/>
      </c>
      <c r="D55" s="22" t="str">
        <f>IF(A55="","",INDEX('Registro Incidencias'!A$5:A$200,A55))</f>
        <v/>
      </c>
      <c r="E55" s="22" t="str">
        <f>IF(A55="","",INDEX('Registro Incidencias'!D$5:D$200,A55))</f>
        <v/>
      </c>
      <c r="F55" s="25" t="str">
        <f>IF(A55="","",INDEX('Registro Incidencias'!F$5:F$200,A55))</f>
        <v/>
      </c>
      <c r="G55" s="25" t="str">
        <f>IF(A55="","",INDEX('Registro Incidencias'!G$5:G$200,A55))</f>
        <v/>
      </c>
      <c r="H55" s="25" t="str">
        <f>IF(A55="","",INDEX('Registro Incidencias'!H$5:H$200,A55))</f>
        <v/>
      </c>
      <c r="I55" s="25" t="str">
        <f>IF(A55="","",INDEX('Registro Incidencias'!O$5:O$200,A55))</f>
        <v/>
      </c>
      <c r="J55" s="25" t="str">
        <f>IF(A55="","",INDEX('Registro Incidencias'!R$5:R$200,A55))</f>
        <v/>
      </c>
      <c r="K55" s="25" t="str">
        <f>IF(A55="","",INDEX('Registro Incidencias'!AF$5:AF$200,A55))</f>
        <v/>
      </c>
      <c r="L55" s="28" t="str">
        <f>IF(A55="","",INDEX('Registro Incidencias'!AI$5:AI$200,A55))</f>
        <v/>
      </c>
      <c r="M55" s="22" t="str">
        <f>IF(A55="","",INDEX('Registro Incidencias'!AD$5:AD$200,A55))</f>
        <v/>
      </c>
      <c r="N55" s="25" t="str">
        <f>IF(A55="","",INDEX('Registro Incidencias'!AE$5:AE$200,A55))</f>
        <v/>
      </c>
      <c r="O55" s="22" t="str">
        <f>IF(A55="","",INDEX('Registro Incidencias'!AK$5:AK$200,A55))</f>
        <v/>
      </c>
      <c r="P55" s="63" t="str">
        <f>IF(A55="","",INDEX('Registro Incidencias'!AU$5:AU$200,A55))</f>
        <v/>
      </c>
      <c r="Q55" s="32" t="str">
        <f>IF(A55="","",INDEX('Registro Incidencias'!AV$5:AV$200,A55))</f>
        <v/>
      </c>
      <c r="R55" s="32"/>
      <c r="S55" s="32"/>
    </row>
    <row r="56" spans="1:19" ht="15" customHeight="1" x14ac:dyDescent="0.25">
      <c r="A56" s="36" t="str">
        <f>IFERROR(MATCH(1,INDEX(('Registro Incidencias'!AX$5:AX$200="Adrián"&amp;TEXT('📅 Semana'!B$12,"YYYYMMDD"))*('Registro Incidencias'!AY$5:AY$200=2),),0),"")</f>
        <v/>
      </c>
      <c r="B56" s="64" t="str">
        <f>IF(A56="","",INDEX('Registro Incidencias'!U$5:U$200,A56))</f>
        <v/>
      </c>
      <c r="C56" s="33" t="str">
        <f>IF(A56="","",INDEX('Registro Incidencias'!L$5:L$200,A56))</f>
        <v/>
      </c>
      <c r="D56" s="33" t="str">
        <f>IF(A56="","",INDEX('Registro Incidencias'!A$5:A$200,A56))</f>
        <v/>
      </c>
      <c r="E56" s="33" t="str">
        <f>IF(A56="","",INDEX('Registro Incidencias'!D$5:D$200,A56))</f>
        <v/>
      </c>
      <c r="F56" s="36" t="str">
        <f>IF(A56="","",INDEX('Registro Incidencias'!F$5:F$200,A56))</f>
        <v/>
      </c>
      <c r="G56" s="36" t="str">
        <f>IF(A56="","",INDEX('Registro Incidencias'!G$5:G$200,A56))</f>
        <v/>
      </c>
      <c r="H56" s="36" t="str">
        <f>IF(A56="","",INDEX('Registro Incidencias'!H$5:H$200,A56))</f>
        <v/>
      </c>
      <c r="I56" s="36" t="str">
        <f>IF(A56="","",INDEX('Registro Incidencias'!O$5:O$200,A56))</f>
        <v/>
      </c>
      <c r="J56" s="36" t="str">
        <f>IF(A56="","",INDEX('Registro Incidencias'!R$5:R$200,A56))</f>
        <v/>
      </c>
      <c r="K56" s="36" t="str">
        <f>IF(A56="","",INDEX('Registro Incidencias'!AF$5:AF$200,A56))</f>
        <v/>
      </c>
      <c r="L56" s="39" t="str">
        <f>IF(A56="","",INDEX('Registro Incidencias'!AI$5:AI$200,A56))</f>
        <v/>
      </c>
      <c r="M56" s="33" t="str">
        <f>IF(A56="","",INDEX('Registro Incidencias'!AD$5:AD$200,A56))</f>
        <v/>
      </c>
      <c r="N56" s="36" t="str">
        <f>IF(A56="","",INDEX('Registro Incidencias'!AE$5:AE$200,A56))</f>
        <v/>
      </c>
      <c r="O56" s="33" t="str">
        <f>IF(A56="","",INDEX('Registro Incidencias'!AK$5:AK$200,A56))</f>
        <v/>
      </c>
      <c r="P56" s="63" t="str">
        <f>IF(A56="","",INDEX('Registro Incidencias'!AU$5:AU$200,A56))</f>
        <v/>
      </c>
      <c r="Q56" s="32" t="str">
        <f>IF(A56="","",INDEX('Registro Incidencias'!AV$5:AV$200,A56))</f>
        <v/>
      </c>
      <c r="R56" s="32"/>
      <c r="S56" s="32"/>
    </row>
    <row r="57" spans="1:19" ht="15" customHeight="1" x14ac:dyDescent="0.25">
      <c r="A57" s="25" t="str">
        <f>IFERROR(MATCH(1,INDEX(('Registro Incidencias'!AX$5:AX$200="Adrián"&amp;TEXT('📅 Semana'!B$12,"YYYYMMDD"))*('Registro Incidencias'!AY$5:AY$200=3),),0),"")</f>
        <v/>
      </c>
      <c r="B57" s="62" t="str">
        <f>IF(A57="","",INDEX('Registro Incidencias'!U$5:U$200,A57))</f>
        <v/>
      </c>
      <c r="C57" s="22" t="str">
        <f>IF(A57="","",INDEX('Registro Incidencias'!L$5:L$200,A57))</f>
        <v/>
      </c>
      <c r="D57" s="22" t="str">
        <f>IF(A57="","",INDEX('Registro Incidencias'!A$5:A$200,A57))</f>
        <v/>
      </c>
      <c r="E57" s="22" t="str">
        <f>IF(A57="","",INDEX('Registro Incidencias'!D$5:D$200,A57))</f>
        <v/>
      </c>
      <c r="F57" s="25" t="str">
        <f>IF(A57="","",INDEX('Registro Incidencias'!F$5:F$200,A57))</f>
        <v/>
      </c>
      <c r="G57" s="25" t="str">
        <f>IF(A57="","",INDEX('Registro Incidencias'!G$5:G$200,A57))</f>
        <v/>
      </c>
      <c r="H57" s="25" t="str">
        <f>IF(A57="","",INDEX('Registro Incidencias'!H$5:H$200,A57))</f>
        <v/>
      </c>
      <c r="I57" s="25" t="str">
        <f>IF(A57="","",INDEX('Registro Incidencias'!O$5:O$200,A57))</f>
        <v/>
      </c>
      <c r="J57" s="25" t="str">
        <f>IF(A57="","",INDEX('Registro Incidencias'!R$5:R$200,A57))</f>
        <v/>
      </c>
      <c r="K57" s="25" t="str">
        <f>IF(A57="","",INDEX('Registro Incidencias'!AF$5:AF$200,A57))</f>
        <v/>
      </c>
      <c r="L57" s="28" t="str">
        <f>IF(A57="","",INDEX('Registro Incidencias'!AI$5:AI$200,A57))</f>
        <v/>
      </c>
      <c r="M57" s="22" t="str">
        <f>IF(A57="","",INDEX('Registro Incidencias'!AD$5:AD$200,A57))</f>
        <v/>
      </c>
      <c r="N57" s="25" t="str">
        <f>IF(A57="","",INDEX('Registro Incidencias'!AE$5:AE$200,A57))</f>
        <v/>
      </c>
      <c r="O57" s="22" t="str">
        <f>IF(A57="","",INDEX('Registro Incidencias'!AK$5:AK$200,A57))</f>
        <v/>
      </c>
      <c r="P57" s="63" t="str">
        <f>IF(A57="","",INDEX('Registro Incidencias'!AU$5:AU$200,A57))</f>
        <v/>
      </c>
      <c r="Q57" s="32" t="str">
        <f>IF(A57="","",INDEX('Registro Incidencias'!AV$5:AV$200,A57))</f>
        <v/>
      </c>
      <c r="R57" s="32"/>
      <c r="S57" s="32"/>
    </row>
    <row r="58" spans="1:19" ht="15" customHeight="1" x14ac:dyDescent="0.25">
      <c r="A58" s="36" t="str">
        <f>IFERROR(MATCH(1,INDEX(('Registro Incidencias'!AX$5:AX$200="Adrián"&amp;TEXT('📅 Semana'!B$12,"YYYYMMDD"))*('Registro Incidencias'!AY$5:AY$200=4),),0),"")</f>
        <v/>
      </c>
      <c r="B58" s="64" t="str">
        <f>IF(A58="","",INDEX('Registro Incidencias'!U$5:U$200,A58))</f>
        <v/>
      </c>
      <c r="C58" s="33" t="str">
        <f>IF(A58="","",INDEX('Registro Incidencias'!L$5:L$200,A58))</f>
        <v/>
      </c>
      <c r="D58" s="33" t="str">
        <f>IF(A58="","",INDEX('Registro Incidencias'!A$5:A$200,A58))</f>
        <v/>
      </c>
      <c r="E58" s="33" t="str">
        <f>IF(A58="","",INDEX('Registro Incidencias'!D$5:D$200,A58))</f>
        <v/>
      </c>
      <c r="F58" s="36" t="str">
        <f>IF(A58="","",INDEX('Registro Incidencias'!F$5:F$200,A58))</f>
        <v/>
      </c>
      <c r="G58" s="36" t="str">
        <f>IF(A58="","",INDEX('Registro Incidencias'!G$5:G$200,A58))</f>
        <v/>
      </c>
      <c r="H58" s="36" t="str">
        <f>IF(A58="","",INDEX('Registro Incidencias'!H$5:H$200,A58))</f>
        <v/>
      </c>
      <c r="I58" s="36" t="str">
        <f>IF(A58="","",INDEX('Registro Incidencias'!O$5:O$200,A58))</f>
        <v/>
      </c>
      <c r="J58" s="36" t="str">
        <f>IF(A58="","",INDEX('Registro Incidencias'!R$5:R$200,A58))</f>
        <v/>
      </c>
      <c r="K58" s="36" t="str">
        <f>IF(A58="","",INDEX('Registro Incidencias'!AF$5:AF$200,A58))</f>
        <v/>
      </c>
      <c r="L58" s="39" t="str">
        <f>IF(A58="","",INDEX('Registro Incidencias'!AI$5:AI$200,A58))</f>
        <v/>
      </c>
      <c r="M58" s="33" t="str">
        <f>IF(A58="","",INDEX('Registro Incidencias'!AD$5:AD$200,A58))</f>
        <v/>
      </c>
      <c r="N58" s="36" t="str">
        <f>IF(A58="","",INDEX('Registro Incidencias'!AE$5:AE$200,A58))</f>
        <v/>
      </c>
      <c r="O58" s="33" t="str">
        <f>IF(A58="","",INDEX('Registro Incidencias'!AK$5:AK$200,A58))</f>
        <v/>
      </c>
      <c r="P58" s="63" t="str">
        <f>IF(A58="","",INDEX('Registro Incidencias'!AU$5:AU$200,A58))</f>
        <v/>
      </c>
      <c r="Q58" s="32" t="str">
        <f>IF(A58="","",INDEX('Registro Incidencias'!AV$5:AV$200,A58))</f>
        <v/>
      </c>
      <c r="R58" s="32"/>
      <c r="S58" s="32"/>
    </row>
    <row r="59" spans="1:19" ht="15" customHeight="1" x14ac:dyDescent="0.25">
      <c r="A59" s="25" t="str">
        <f>IFERROR(MATCH(1,INDEX(('Registro Incidencias'!AX$5:AX$200="Adrián"&amp;TEXT('📅 Semana'!B$12,"YYYYMMDD"))*('Registro Incidencias'!AY$5:AY$200=5),),0),"")</f>
        <v/>
      </c>
      <c r="B59" s="62" t="str">
        <f>IF(A59="","",INDEX('Registro Incidencias'!U$5:U$200,A59))</f>
        <v/>
      </c>
      <c r="C59" s="22" t="str">
        <f>IF(A59="","",INDEX('Registro Incidencias'!L$5:L$200,A59))</f>
        <v/>
      </c>
      <c r="D59" s="22" t="str">
        <f>IF(A59="","",INDEX('Registro Incidencias'!A$5:A$200,A59))</f>
        <v/>
      </c>
      <c r="E59" s="22" t="str">
        <f>IF(A59="","",INDEX('Registro Incidencias'!D$5:D$200,A59))</f>
        <v/>
      </c>
      <c r="F59" s="25" t="str">
        <f>IF(A59="","",INDEX('Registro Incidencias'!F$5:F$200,A59))</f>
        <v/>
      </c>
      <c r="G59" s="25" t="str">
        <f>IF(A59="","",INDEX('Registro Incidencias'!G$5:G$200,A59))</f>
        <v/>
      </c>
      <c r="H59" s="25" t="str">
        <f>IF(A59="","",INDEX('Registro Incidencias'!H$5:H$200,A59))</f>
        <v/>
      </c>
      <c r="I59" s="25" t="str">
        <f>IF(A59="","",INDEX('Registro Incidencias'!O$5:O$200,A59))</f>
        <v/>
      </c>
      <c r="J59" s="25" t="str">
        <f>IF(A59="","",INDEX('Registro Incidencias'!R$5:R$200,A59))</f>
        <v/>
      </c>
      <c r="K59" s="25" t="str">
        <f>IF(A59="","",INDEX('Registro Incidencias'!AF$5:AF$200,A59))</f>
        <v/>
      </c>
      <c r="L59" s="28" t="str">
        <f>IF(A59="","",INDEX('Registro Incidencias'!AI$5:AI$200,A59))</f>
        <v/>
      </c>
      <c r="M59" s="22" t="str">
        <f>IF(A59="","",INDEX('Registro Incidencias'!AD$5:AD$200,A59))</f>
        <v/>
      </c>
      <c r="N59" s="25" t="str">
        <f>IF(A59="","",INDEX('Registro Incidencias'!AE$5:AE$200,A59))</f>
        <v/>
      </c>
      <c r="O59" s="22" t="str">
        <f>IF(A59="","",INDEX('Registro Incidencias'!AK$5:AK$200,A59))</f>
        <v/>
      </c>
      <c r="P59" s="63" t="str">
        <f>IF(A59="","",INDEX('Registro Incidencias'!AU$5:AU$200,A59))</f>
        <v/>
      </c>
      <c r="Q59" s="32" t="str">
        <f>IF(A59="","",INDEX('Registro Incidencias'!AV$5:AV$200,A59))</f>
        <v/>
      </c>
      <c r="R59" s="32"/>
      <c r="S59" s="32"/>
    </row>
    <row r="60" spans="1:19" ht="15" customHeight="1" x14ac:dyDescent="0.25">
      <c r="A60" s="36" t="str">
        <f>IFERROR(MATCH(1,INDEX(('Registro Incidencias'!AX$5:AX$200="Adrián"&amp;TEXT('📅 Semana'!B$12,"YYYYMMDD"))*('Registro Incidencias'!AY$5:AY$200=6),),0),"")</f>
        <v/>
      </c>
      <c r="B60" s="64" t="str">
        <f>IF(A60="","",INDEX('Registro Incidencias'!U$5:U$200,A60))</f>
        <v/>
      </c>
      <c r="C60" s="33" t="str">
        <f>IF(A60="","",INDEX('Registro Incidencias'!L$5:L$200,A60))</f>
        <v/>
      </c>
      <c r="D60" s="33" t="str">
        <f>IF(A60="","",INDEX('Registro Incidencias'!A$5:A$200,A60))</f>
        <v/>
      </c>
      <c r="E60" s="33" t="str">
        <f>IF(A60="","",INDEX('Registro Incidencias'!D$5:D$200,A60))</f>
        <v/>
      </c>
      <c r="F60" s="36" t="str">
        <f>IF(A60="","",INDEX('Registro Incidencias'!F$5:F$200,A60))</f>
        <v/>
      </c>
      <c r="G60" s="36" t="str">
        <f>IF(A60="","",INDEX('Registro Incidencias'!G$5:G$200,A60))</f>
        <v/>
      </c>
      <c r="H60" s="36" t="str">
        <f>IF(A60="","",INDEX('Registro Incidencias'!H$5:H$200,A60))</f>
        <v/>
      </c>
      <c r="I60" s="36" t="str">
        <f>IF(A60="","",INDEX('Registro Incidencias'!O$5:O$200,A60))</f>
        <v/>
      </c>
      <c r="J60" s="36" t="str">
        <f>IF(A60="","",INDEX('Registro Incidencias'!R$5:R$200,A60))</f>
        <v/>
      </c>
      <c r="K60" s="36" t="str">
        <f>IF(A60="","",INDEX('Registro Incidencias'!AF$5:AF$200,A60))</f>
        <v/>
      </c>
      <c r="L60" s="39" t="str">
        <f>IF(A60="","",INDEX('Registro Incidencias'!AI$5:AI$200,A60))</f>
        <v/>
      </c>
      <c r="M60" s="33" t="str">
        <f>IF(A60="","",INDEX('Registro Incidencias'!AD$5:AD$200,A60))</f>
        <v/>
      </c>
      <c r="N60" s="36" t="str">
        <f>IF(A60="","",INDEX('Registro Incidencias'!AE$5:AE$200,A60))</f>
        <v/>
      </c>
      <c r="O60" s="33" t="str">
        <f>IF(A60="","",INDEX('Registro Incidencias'!AK$5:AK$200,A60))</f>
        <v/>
      </c>
      <c r="P60" s="63" t="str">
        <f>IF(A60="","",INDEX('Registro Incidencias'!AU$5:AU$200,A60))</f>
        <v/>
      </c>
      <c r="Q60" s="32" t="str">
        <f>IF(A60="","",INDEX('Registro Incidencias'!AV$5:AV$200,A60))</f>
        <v/>
      </c>
      <c r="R60" s="32"/>
      <c r="S60" s="32"/>
    </row>
    <row r="61" spans="1:19" ht="21.75" customHeight="1" x14ac:dyDescent="0.25">
      <c r="A61" s="131" t="str">
        <f>COUNTIFS('Registro Incidencias'!S$5:S$200,"Adrián",'Registro Incidencias'!T$5:T$200,'📅 Semana'!B$12)&amp;" averías"</f>
        <v>0 averías</v>
      </c>
      <c r="B61" s="131"/>
      <c r="C61" s="131"/>
      <c r="D61" s="131"/>
      <c r="E61" s="131"/>
      <c r="F61" s="131"/>
      <c r="G61" s="131"/>
      <c r="H61" s="131"/>
      <c r="I61" s="131"/>
      <c r="J61" s="2" t="str">
        <f>"Verificadas: "&amp;COUNTIFS(A55:A60,"&lt;&gt;",P55:P60,"&lt;&gt;")&amp;"/"&amp;COUNTIF(A55:A60,"&lt;&gt;")</f>
        <v>Verificadas: 6/6</v>
      </c>
      <c r="K61" s="2"/>
      <c r="L61" s="2"/>
      <c r="M61" s="2"/>
      <c r="N61" s="2"/>
      <c r="O61" s="2"/>
      <c r="P61" s="2"/>
    </row>
    <row r="63" spans="1:19" ht="30" customHeight="1" x14ac:dyDescent="0.25">
      <c r="A63" s="132" t="str">
        <f>TEXT('📅 Semana'!B$13,"DDDD")&amp;"  —  "&amp;TEXT('📅 Semana'!B$13,"DD/MM/")&amp;"2026"</f>
        <v>domingo  —  22/02/2026</v>
      </c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</row>
    <row r="64" spans="1:19" ht="30" customHeight="1" x14ac:dyDescent="0.25">
      <c r="A64" s="70" t="s">
        <v>85</v>
      </c>
      <c r="B64" s="70" t="s">
        <v>86</v>
      </c>
      <c r="C64" s="70" t="s">
        <v>18</v>
      </c>
      <c r="D64" s="70" t="s">
        <v>87</v>
      </c>
      <c r="E64" s="70" t="s">
        <v>88</v>
      </c>
      <c r="F64" s="70" t="s">
        <v>89</v>
      </c>
      <c r="G64" s="70" t="s">
        <v>13</v>
      </c>
      <c r="H64" s="70" t="s">
        <v>14</v>
      </c>
      <c r="I64" s="70" t="s">
        <v>90</v>
      </c>
      <c r="J64" s="70" t="s">
        <v>91</v>
      </c>
      <c r="K64" s="70" t="s">
        <v>92</v>
      </c>
      <c r="L64" s="70" t="s">
        <v>93</v>
      </c>
      <c r="M64" s="70" t="s">
        <v>94</v>
      </c>
      <c r="N64" s="70" t="s">
        <v>37</v>
      </c>
      <c r="O64" s="70" t="s">
        <v>43</v>
      </c>
      <c r="P64" s="61" t="s">
        <v>95</v>
      </c>
      <c r="Q64" s="61" t="s">
        <v>96</v>
      </c>
      <c r="R64" s="61" t="s">
        <v>97</v>
      </c>
      <c r="S64" s="61" t="s">
        <v>98</v>
      </c>
    </row>
    <row r="65" spans="1:19" ht="15" customHeight="1" x14ac:dyDescent="0.25">
      <c r="A65" s="25" t="str">
        <f>IFERROR(MATCH(1,INDEX(('Registro Incidencias'!AX$5:AX$200="Adrián"&amp;TEXT('📅 Semana'!B$13,"YYYYMMDD"))*('Registro Incidencias'!AY$5:AY$200=1),),0),"")</f>
        <v/>
      </c>
      <c r="B65" s="62" t="str">
        <f>IF(A65="","",INDEX('Registro Incidencias'!U$5:U$200,A65))</f>
        <v/>
      </c>
      <c r="C65" s="22" t="str">
        <f>IF(A65="","",INDEX('Registro Incidencias'!L$5:L$200,A65))</f>
        <v/>
      </c>
      <c r="D65" s="22" t="str">
        <f>IF(A65="","",INDEX('Registro Incidencias'!A$5:A$200,A65))</f>
        <v/>
      </c>
      <c r="E65" s="22" t="str">
        <f>IF(A65="","",INDEX('Registro Incidencias'!D$5:D$200,A65))</f>
        <v/>
      </c>
      <c r="F65" s="25" t="str">
        <f>IF(A65="","",INDEX('Registro Incidencias'!F$5:F$200,A65))</f>
        <v/>
      </c>
      <c r="G65" s="25" t="str">
        <f>IF(A65="","",INDEX('Registro Incidencias'!G$5:G$200,A65))</f>
        <v/>
      </c>
      <c r="H65" s="25" t="str">
        <f>IF(A65="","",INDEX('Registro Incidencias'!H$5:H$200,A65))</f>
        <v/>
      </c>
      <c r="I65" s="25" t="str">
        <f>IF(A65="","",INDEX('Registro Incidencias'!O$5:O$200,A65))</f>
        <v/>
      </c>
      <c r="J65" s="25" t="str">
        <f>IF(A65="","",INDEX('Registro Incidencias'!R$5:R$200,A65))</f>
        <v/>
      </c>
      <c r="K65" s="25" t="str">
        <f>IF(A65="","",INDEX('Registro Incidencias'!AF$5:AF$200,A65))</f>
        <v/>
      </c>
      <c r="L65" s="28" t="str">
        <f>IF(A65="","",INDEX('Registro Incidencias'!AI$5:AI$200,A65))</f>
        <v/>
      </c>
      <c r="M65" s="22" t="str">
        <f>IF(A65="","",INDEX('Registro Incidencias'!AD$5:AD$200,A65))</f>
        <v/>
      </c>
      <c r="N65" s="25" t="str">
        <f>IF(A65="","",INDEX('Registro Incidencias'!AE$5:AE$200,A65))</f>
        <v/>
      </c>
      <c r="O65" s="22" t="str">
        <f>IF(A65="","",INDEX('Registro Incidencias'!AK$5:AK$200,A65))</f>
        <v/>
      </c>
      <c r="P65" s="63" t="str">
        <f>IF(A65="","",INDEX('Registro Incidencias'!AU$5:AU$200,A65))</f>
        <v/>
      </c>
      <c r="Q65" s="32" t="str">
        <f>IF(A65="","",INDEX('Registro Incidencias'!AV$5:AV$200,A65))</f>
        <v/>
      </c>
      <c r="R65" s="32"/>
      <c r="S65" s="32"/>
    </row>
    <row r="66" spans="1:19" ht="15" customHeight="1" x14ac:dyDescent="0.25">
      <c r="A66" s="36" t="str">
        <f>IFERROR(MATCH(1,INDEX(('Registro Incidencias'!AX$5:AX$200="Adrián"&amp;TEXT('📅 Semana'!B$13,"YYYYMMDD"))*('Registro Incidencias'!AY$5:AY$200=2),),0),"")</f>
        <v/>
      </c>
      <c r="B66" s="64" t="str">
        <f>IF(A66="","",INDEX('Registro Incidencias'!U$5:U$200,A66))</f>
        <v/>
      </c>
      <c r="C66" s="33" t="str">
        <f>IF(A66="","",INDEX('Registro Incidencias'!L$5:L$200,A66))</f>
        <v/>
      </c>
      <c r="D66" s="33" t="str">
        <f>IF(A66="","",INDEX('Registro Incidencias'!A$5:A$200,A66))</f>
        <v/>
      </c>
      <c r="E66" s="33" t="str">
        <f>IF(A66="","",INDEX('Registro Incidencias'!D$5:D$200,A66))</f>
        <v/>
      </c>
      <c r="F66" s="36" t="str">
        <f>IF(A66="","",INDEX('Registro Incidencias'!F$5:F$200,A66))</f>
        <v/>
      </c>
      <c r="G66" s="36" t="str">
        <f>IF(A66="","",INDEX('Registro Incidencias'!G$5:G$200,A66))</f>
        <v/>
      </c>
      <c r="H66" s="36" t="str">
        <f>IF(A66="","",INDEX('Registro Incidencias'!H$5:H$200,A66))</f>
        <v/>
      </c>
      <c r="I66" s="36" t="str">
        <f>IF(A66="","",INDEX('Registro Incidencias'!O$5:O$200,A66))</f>
        <v/>
      </c>
      <c r="J66" s="36" t="str">
        <f>IF(A66="","",INDEX('Registro Incidencias'!R$5:R$200,A66))</f>
        <v/>
      </c>
      <c r="K66" s="36" t="str">
        <f>IF(A66="","",INDEX('Registro Incidencias'!AF$5:AF$200,A66))</f>
        <v/>
      </c>
      <c r="L66" s="39" t="str">
        <f>IF(A66="","",INDEX('Registro Incidencias'!AI$5:AI$200,A66))</f>
        <v/>
      </c>
      <c r="M66" s="33" t="str">
        <f>IF(A66="","",INDEX('Registro Incidencias'!AD$5:AD$200,A66))</f>
        <v/>
      </c>
      <c r="N66" s="36" t="str">
        <f>IF(A66="","",INDEX('Registro Incidencias'!AE$5:AE$200,A66))</f>
        <v/>
      </c>
      <c r="O66" s="33" t="str">
        <f>IF(A66="","",INDEX('Registro Incidencias'!AK$5:AK$200,A66))</f>
        <v/>
      </c>
      <c r="P66" s="63" t="str">
        <f>IF(A66="","",INDEX('Registro Incidencias'!AU$5:AU$200,A66))</f>
        <v/>
      </c>
      <c r="Q66" s="32" t="str">
        <f>IF(A66="","",INDEX('Registro Incidencias'!AV$5:AV$200,A66))</f>
        <v/>
      </c>
      <c r="R66" s="32"/>
      <c r="S66" s="32"/>
    </row>
    <row r="67" spans="1:19" ht="15" customHeight="1" x14ac:dyDescent="0.25">
      <c r="A67" s="25" t="str">
        <f>IFERROR(MATCH(1,INDEX(('Registro Incidencias'!AX$5:AX$200="Adrián"&amp;TEXT('📅 Semana'!B$13,"YYYYMMDD"))*('Registro Incidencias'!AY$5:AY$200=3),),0),"")</f>
        <v/>
      </c>
      <c r="B67" s="62" t="str">
        <f>IF(A67="","",INDEX('Registro Incidencias'!U$5:U$200,A67))</f>
        <v/>
      </c>
      <c r="C67" s="22" t="str">
        <f>IF(A67="","",INDEX('Registro Incidencias'!L$5:L$200,A67))</f>
        <v/>
      </c>
      <c r="D67" s="22" t="str">
        <f>IF(A67="","",INDEX('Registro Incidencias'!A$5:A$200,A67))</f>
        <v/>
      </c>
      <c r="E67" s="22" t="str">
        <f>IF(A67="","",INDEX('Registro Incidencias'!D$5:D$200,A67))</f>
        <v/>
      </c>
      <c r="F67" s="25" t="str">
        <f>IF(A67="","",INDEX('Registro Incidencias'!F$5:F$200,A67))</f>
        <v/>
      </c>
      <c r="G67" s="25" t="str">
        <f>IF(A67="","",INDEX('Registro Incidencias'!G$5:G$200,A67))</f>
        <v/>
      </c>
      <c r="H67" s="25" t="str">
        <f>IF(A67="","",INDEX('Registro Incidencias'!H$5:H$200,A67))</f>
        <v/>
      </c>
      <c r="I67" s="25" t="str">
        <f>IF(A67="","",INDEX('Registro Incidencias'!O$5:O$200,A67))</f>
        <v/>
      </c>
      <c r="J67" s="25" t="str">
        <f>IF(A67="","",INDEX('Registro Incidencias'!R$5:R$200,A67))</f>
        <v/>
      </c>
      <c r="K67" s="25" t="str">
        <f>IF(A67="","",INDEX('Registro Incidencias'!AF$5:AF$200,A67))</f>
        <v/>
      </c>
      <c r="L67" s="28" t="str">
        <f>IF(A67="","",INDEX('Registro Incidencias'!AI$5:AI$200,A67))</f>
        <v/>
      </c>
      <c r="M67" s="22" t="str">
        <f>IF(A67="","",INDEX('Registro Incidencias'!AD$5:AD$200,A67))</f>
        <v/>
      </c>
      <c r="N67" s="25" t="str">
        <f>IF(A67="","",INDEX('Registro Incidencias'!AE$5:AE$200,A67))</f>
        <v/>
      </c>
      <c r="O67" s="22" t="str">
        <f>IF(A67="","",INDEX('Registro Incidencias'!AK$5:AK$200,A67))</f>
        <v/>
      </c>
      <c r="P67" s="63" t="str">
        <f>IF(A67="","",INDEX('Registro Incidencias'!AU$5:AU$200,A67))</f>
        <v/>
      </c>
      <c r="Q67" s="32" t="str">
        <f>IF(A67="","",INDEX('Registro Incidencias'!AV$5:AV$200,A67))</f>
        <v/>
      </c>
      <c r="R67" s="32"/>
      <c r="S67" s="32"/>
    </row>
    <row r="68" spans="1:19" ht="15" customHeight="1" x14ac:dyDescent="0.25">
      <c r="A68" s="36" t="str">
        <f>IFERROR(MATCH(1,INDEX(('Registro Incidencias'!AX$5:AX$200="Adrián"&amp;TEXT('📅 Semana'!B$13,"YYYYMMDD"))*('Registro Incidencias'!AY$5:AY$200=4),),0),"")</f>
        <v/>
      </c>
      <c r="B68" s="64" t="str">
        <f>IF(A68="","",INDEX('Registro Incidencias'!U$5:U$200,A68))</f>
        <v/>
      </c>
      <c r="C68" s="33" t="str">
        <f>IF(A68="","",INDEX('Registro Incidencias'!L$5:L$200,A68))</f>
        <v/>
      </c>
      <c r="D68" s="33" t="str">
        <f>IF(A68="","",INDEX('Registro Incidencias'!A$5:A$200,A68))</f>
        <v/>
      </c>
      <c r="E68" s="33" t="str">
        <f>IF(A68="","",INDEX('Registro Incidencias'!D$5:D$200,A68))</f>
        <v/>
      </c>
      <c r="F68" s="36" t="str">
        <f>IF(A68="","",INDEX('Registro Incidencias'!F$5:F$200,A68))</f>
        <v/>
      </c>
      <c r="G68" s="36" t="str">
        <f>IF(A68="","",INDEX('Registro Incidencias'!G$5:G$200,A68))</f>
        <v/>
      </c>
      <c r="H68" s="36" t="str">
        <f>IF(A68="","",INDEX('Registro Incidencias'!H$5:H$200,A68))</f>
        <v/>
      </c>
      <c r="I68" s="36" t="str">
        <f>IF(A68="","",INDEX('Registro Incidencias'!O$5:O$200,A68))</f>
        <v/>
      </c>
      <c r="J68" s="36" t="str">
        <f>IF(A68="","",INDEX('Registro Incidencias'!R$5:R$200,A68))</f>
        <v/>
      </c>
      <c r="K68" s="36" t="str">
        <f>IF(A68="","",INDEX('Registro Incidencias'!AF$5:AF$200,A68))</f>
        <v/>
      </c>
      <c r="L68" s="39" t="str">
        <f>IF(A68="","",INDEX('Registro Incidencias'!AI$5:AI$200,A68))</f>
        <v/>
      </c>
      <c r="M68" s="33" t="str">
        <f>IF(A68="","",INDEX('Registro Incidencias'!AD$5:AD$200,A68))</f>
        <v/>
      </c>
      <c r="N68" s="36" t="str">
        <f>IF(A68="","",INDEX('Registro Incidencias'!AE$5:AE$200,A68))</f>
        <v/>
      </c>
      <c r="O68" s="33" t="str">
        <f>IF(A68="","",INDEX('Registro Incidencias'!AK$5:AK$200,A68))</f>
        <v/>
      </c>
      <c r="P68" s="63" t="str">
        <f>IF(A68="","",INDEX('Registro Incidencias'!AU$5:AU$200,A68))</f>
        <v/>
      </c>
      <c r="Q68" s="32" t="str">
        <f>IF(A68="","",INDEX('Registro Incidencias'!AV$5:AV$200,A68))</f>
        <v/>
      </c>
      <c r="R68" s="32"/>
      <c r="S68" s="32"/>
    </row>
    <row r="69" spans="1:19" ht="15" customHeight="1" x14ac:dyDescent="0.25">
      <c r="A69" s="25" t="str">
        <f>IFERROR(MATCH(1,INDEX(('Registro Incidencias'!AX$5:AX$200="Adrián"&amp;TEXT('📅 Semana'!B$13,"YYYYMMDD"))*('Registro Incidencias'!AY$5:AY$200=5),),0),"")</f>
        <v/>
      </c>
      <c r="B69" s="62" t="str">
        <f>IF(A69="","",INDEX('Registro Incidencias'!U$5:U$200,A69))</f>
        <v/>
      </c>
      <c r="C69" s="22" t="str">
        <f>IF(A69="","",INDEX('Registro Incidencias'!L$5:L$200,A69))</f>
        <v/>
      </c>
      <c r="D69" s="22" t="str">
        <f>IF(A69="","",INDEX('Registro Incidencias'!A$5:A$200,A69))</f>
        <v/>
      </c>
      <c r="E69" s="22" t="str">
        <f>IF(A69="","",INDEX('Registro Incidencias'!D$5:D$200,A69))</f>
        <v/>
      </c>
      <c r="F69" s="25" t="str">
        <f>IF(A69="","",INDEX('Registro Incidencias'!F$5:F$200,A69))</f>
        <v/>
      </c>
      <c r="G69" s="25" t="str">
        <f>IF(A69="","",INDEX('Registro Incidencias'!G$5:G$200,A69))</f>
        <v/>
      </c>
      <c r="H69" s="25" t="str">
        <f>IF(A69="","",INDEX('Registro Incidencias'!H$5:H$200,A69))</f>
        <v/>
      </c>
      <c r="I69" s="25" t="str">
        <f>IF(A69="","",INDEX('Registro Incidencias'!O$5:O$200,A69))</f>
        <v/>
      </c>
      <c r="J69" s="25" t="str">
        <f>IF(A69="","",INDEX('Registro Incidencias'!R$5:R$200,A69))</f>
        <v/>
      </c>
      <c r="K69" s="25" t="str">
        <f>IF(A69="","",INDEX('Registro Incidencias'!AF$5:AF$200,A69))</f>
        <v/>
      </c>
      <c r="L69" s="28" t="str">
        <f>IF(A69="","",INDEX('Registro Incidencias'!AI$5:AI$200,A69))</f>
        <v/>
      </c>
      <c r="M69" s="22" t="str">
        <f>IF(A69="","",INDEX('Registro Incidencias'!AD$5:AD$200,A69))</f>
        <v/>
      </c>
      <c r="N69" s="25" t="str">
        <f>IF(A69="","",INDEX('Registro Incidencias'!AE$5:AE$200,A69))</f>
        <v/>
      </c>
      <c r="O69" s="22" t="str">
        <f>IF(A69="","",INDEX('Registro Incidencias'!AK$5:AK$200,A69))</f>
        <v/>
      </c>
      <c r="P69" s="63" t="str">
        <f>IF(A69="","",INDEX('Registro Incidencias'!AU$5:AU$200,A69))</f>
        <v/>
      </c>
      <c r="Q69" s="32" t="str">
        <f>IF(A69="","",INDEX('Registro Incidencias'!AV$5:AV$200,A69))</f>
        <v/>
      </c>
      <c r="R69" s="32"/>
      <c r="S69" s="32"/>
    </row>
    <row r="70" spans="1:19" ht="15" customHeight="1" x14ac:dyDescent="0.25">
      <c r="A70" s="36" t="str">
        <f>IFERROR(MATCH(1,INDEX(('Registro Incidencias'!AX$5:AX$200="Adrián"&amp;TEXT('📅 Semana'!B$13,"YYYYMMDD"))*('Registro Incidencias'!AY$5:AY$200=6),),0),"")</f>
        <v/>
      </c>
      <c r="B70" s="64" t="str">
        <f>IF(A70="","",INDEX('Registro Incidencias'!U$5:U$200,A70))</f>
        <v/>
      </c>
      <c r="C70" s="33" t="str">
        <f>IF(A70="","",INDEX('Registro Incidencias'!L$5:L$200,A70))</f>
        <v/>
      </c>
      <c r="D70" s="33" t="str">
        <f>IF(A70="","",INDEX('Registro Incidencias'!A$5:A$200,A70))</f>
        <v/>
      </c>
      <c r="E70" s="33" t="str">
        <f>IF(A70="","",INDEX('Registro Incidencias'!D$5:D$200,A70))</f>
        <v/>
      </c>
      <c r="F70" s="36" t="str">
        <f>IF(A70="","",INDEX('Registro Incidencias'!F$5:F$200,A70))</f>
        <v/>
      </c>
      <c r="G70" s="36" t="str">
        <f>IF(A70="","",INDEX('Registro Incidencias'!G$5:G$200,A70))</f>
        <v/>
      </c>
      <c r="H70" s="36" t="str">
        <f>IF(A70="","",INDEX('Registro Incidencias'!H$5:H$200,A70))</f>
        <v/>
      </c>
      <c r="I70" s="36" t="str">
        <f>IF(A70="","",INDEX('Registro Incidencias'!O$5:O$200,A70))</f>
        <v/>
      </c>
      <c r="J70" s="36" t="str">
        <f>IF(A70="","",INDEX('Registro Incidencias'!R$5:R$200,A70))</f>
        <v/>
      </c>
      <c r="K70" s="36" t="str">
        <f>IF(A70="","",INDEX('Registro Incidencias'!AF$5:AF$200,A70))</f>
        <v/>
      </c>
      <c r="L70" s="39" t="str">
        <f>IF(A70="","",INDEX('Registro Incidencias'!AI$5:AI$200,A70))</f>
        <v/>
      </c>
      <c r="M70" s="33" t="str">
        <f>IF(A70="","",INDEX('Registro Incidencias'!AD$5:AD$200,A70))</f>
        <v/>
      </c>
      <c r="N70" s="36" t="str">
        <f>IF(A70="","",INDEX('Registro Incidencias'!AE$5:AE$200,A70))</f>
        <v/>
      </c>
      <c r="O70" s="33" t="str">
        <f>IF(A70="","",INDEX('Registro Incidencias'!AK$5:AK$200,A70))</f>
        <v/>
      </c>
      <c r="P70" s="63" t="str">
        <f>IF(A70="","",INDEX('Registro Incidencias'!AU$5:AU$200,A70))</f>
        <v/>
      </c>
      <c r="Q70" s="32" t="str">
        <f>IF(A70="","",INDEX('Registro Incidencias'!AV$5:AV$200,A70))</f>
        <v/>
      </c>
      <c r="R70" s="32"/>
      <c r="S70" s="32"/>
    </row>
    <row r="71" spans="1:19" ht="21.75" customHeight="1" x14ac:dyDescent="0.25">
      <c r="A71" s="133" t="str">
        <f>COUNTIFS('Registro Incidencias'!S$5:S$200,"Adrián",'Registro Incidencias'!T$5:T$200,'📅 Semana'!B$13)&amp;" averías"</f>
        <v>0 averías</v>
      </c>
      <c r="B71" s="133"/>
      <c r="C71" s="133"/>
      <c r="D71" s="133"/>
      <c r="E71" s="133"/>
      <c r="F71" s="133"/>
      <c r="G71" s="133"/>
      <c r="H71" s="133"/>
      <c r="I71" s="133"/>
      <c r="J71" s="2" t="str">
        <f>"Verificadas: "&amp;COUNTIFS(A65:A70,"&lt;&gt;",P65:P70,"&lt;&gt;")&amp;"/"&amp;COUNTIF(A65:A70,"&lt;&gt;")</f>
        <v>Verificadas: 6/6</v>
      </c>
      <c r="K71" s="2"/>
      <c r="L71" s="2"/>
      <c r="M71" s="2"/>
      <c r="N71" s="2"/>
      <c r="O71" s="2"/>
      <c r="P71" s="2"/>
    </row>
    <row r="74" spans="1:19" ht="15" customHeight="1" x14ac:dyDescent="0.25">
      <c r="A74" s="9" t="s">
        <v>116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ht="18" customHeight="1" x14ac:dyDescent="0.25">
      <c r="A75" s="134" t="s">
        <v>100</v>
      </c>
      <c r="B75" s="134"/>
      <c r="C75" s="134"/>
      <c r="D75" s="134"/>
      <c r="E75" s="134"/>
      <c r="F75" s="134"/>
      <c r="G75" s="134"/>
      <c r="H75" s="134"/>
      <c r="I75" s="134"/>
      <c r="J75" s="83">
        <f>COUNTIFS('Registro Incidencias'!S$5:S$200,"Adrián",'Registro Incidencias'!T$5:T$200,"&gt;="&amp;'📅 Semana'!B$7,'Registro Incidencias'!T$5:T$200,"&lt;="&amp;'📅 Semana'!B$13)</f>
        <v>0</v>
      </c>
    </row>
    <row r="76" spans="1:19" ht="18" customHeight="1" x14ac:dyDescent="0.25">
      <c r="A76" s="135" t="s">
        <v>101</v>
      </c>
      <c r="B76" s="135"/>
      <c r="C76" s="135"/>
      <c r="D76" s="135"/>
      <c r="E76" s="135"/>
      <c r="F76" s="135"/>
      <c r="G76" s="135"/>
      <c r="H76" s="135"/>
      <c r="I76" s="135"/>
      <c r="J76" s="84">
        <f>COUNTIFS('Registro Incidencias'!S$5:S$200,"Adrián",'Registro Incidencias'!T$5:T$200,"&gt;="&amp;'📅 Semana'!B$7,'Registro Incidencias'!T$5:T$200,"&lt;="&amp;'📅 Semana'!B$13,'Registro Incidencias'!AK$5:AK$200,"*Resuelta*")</f>
        <v>0</v>
      </c>
    </row>
    <row r="77" spans="1:19" ht="18" customHeight="1" x14ac:dyDescent="0.25">
      <c r="A77" s="134" t="s">
        <v>102</v>
      </c>
      <c r="B77" s="134"/>
      <c r="C77" s="134"/>
      <c r="D77" s="134"/>
      <c r="E77" s="134"/>
      <c r="F77" s="134"/>
      <c r="G77" s="134"/>
      <c r="H77" s="134"/>
      <c r="I77" s="134"/>
      <c r="J77" s="83">
        <f>COUNTIFS('Registro Incidencias'!S$5:S$200,"Adrián",'Registro Incidencias'!T$5:T$200,"&gt;="&amp;'📅 Semana'!B$7,'Registro Incidencias'!T$5:T$200,"&lt;="&amp;'📅 Semana'!B$13,'Registro Incidencias'!AK$5:AK$200,"*No resuelta*")</f>
        <v>0</v>
      </c>
    </row>
    <row r="78" spans="1:19" ht="18" customHeight="1" x14ac:dyDescent="0.25">
      <c r="A78" s="135" t="s">
        <v>103</v>
      </c>
      <c r="B78" s="135"/>
      <c r="C78" s="135"/>
      <c r="D78" s="135"/>
      <c r="E78" s="135"/>
      <c r="F78" s="135"/>
      <c r="G78" s="135"/>
      <c r="H78" s="135"/>
      <c r="I78" s="135"/>
      <c r="J78" s="84">
        <f>COUNTIFS('Registro Incidencias'!S$5:S$200,"Adrián",'Registro Incidencias'!T$5:T$200,"&gt;="&amp;'📅 Semana'!B$7,'Registro Incidencias'!T$5:T$200,"&lt;="&amp;'📅 Semana'!B$13,'Registro Incidencias'!AK$5:AK$200,"*Pospuesta*")</f>
        <v>0</v>
      </c>
    </row>
    <row r="79" spans="1:19" ht="18" customHeight="1" x14ac:dyDescent="0.25">
      <c r="A79" s="134" t="s">
        <v>104</v>
      </c>
      <c r="B79" s="134"/>
      <c r="C79" s="134"/>
      <c r="D79" s="134"/>
      <c r="E79" s="134"/>
      <c r="F79" s="134"/>
      <c r="G79" s="134"/>
      <c r="H79" s="134"/>
      <c r="I79" s="134"/>
      <c r="J79" s="83">
        <f>COUNTIFS('Registro Incidencias'!S$5:S$200,"Adrián",'Registro Incidencias'!T$5:T$200,"&gt;="&amp;'📅 Semana'!B$7,'Registro Incidencias'!T$5:T$200,"&lt;="&amp;'📅 Semana'!B$13,'Registro Incidencias'!AD$5:AD$200,"&gt;1")</f>
        <v>0</v>
      </c>
    </row>
    <row r="80" spans="1:19" ht="18" customHeight="1" x14ac:dyDescent="0.25">
      <c r="A80" s="135" t="s">
        <v>105</v>
      </c>
      <c r="B80" s="135"/>
      <c r="C80" s="135"/>
      <c r="D80" s="135"/>
      <c r="E80" s="135"/>
      <c r="F80" s="135"/>
      <c r="G80" s="135"/>
      <c r="H80" s="135"/>
      <c r="I80" s="135"/>
      <c r="J80" s="84">
        <f>COUNTIFS('Registro Incidencias'!S$5:S$200,"Adrián",'Registro Incidencias'!T$5:T$200,"&gt;="&amp;'📅 Semana'!B$7,'Registro Incidencias'!T$5:T$200,"&lt;="&amp;'📅 Semana'!B$13,'Registro Incidencias'!AE$5:AE$200,"Fallo del técnico")</f>
        <v>0</v>
      </c>
    </row>
    <row r="81" spans="1:10" ht="18" customHeight="1" x14ac:dyDescent="0.25">
      <c r="A81" s="134" t="s">
        <v>106</v>
      </c>
      <c r="B81" s="134"/>
      <c r="C81" s="134"/>
      <c r="D81" s="134"/>
      <c r="E81" s="134"/>
      <c r="F81" s="134"/>
      <c r="G81" s="134"/>
      <c r="H81" s="134"/>
      <c r="I81" s="134"/>
      <c r="J81" s="83">
        <f>COUNTIFS('Registro Incidencias'!S$5:S$200,"Adrián",'Registro Incidencias'!T$5:T$200,"&gt;="&amp;'📅 Semana'!B$7,'Registro Incidencias'!T$5:T$200,"&lt;="&amp;'📅 Semana'!B$13,'Registro Incidencias'!AE$5:AE$200,"Falta de material")</f>
        <v>0</v>
      </c>
    </row>
    <row r="82" spans="1:10" ht="18" customHeight="1" x14ac:dyDescent="0.25">
      <c r="A82" s="135" t="s">
        <v>107</v>
      </c>
      <c r="B82" s="135"/>
      <c r="C82" s="135"/>
      <c r="D82" s="135"/>
      <c r="E82" s="135"/>
      <c r="F82" s="135"/>
      <c r="G82" s="135"/>
      <c r="H82" s="135"/>
      <c r="I82" s="135"/>
      <c r="J82" s="85">
        <f>SUMIFS('Registro Incidencias'!AS$5:AS$200,'Registro Incidencias'!S$5:S$200,"Adrián",'Registro Incidencias'!T$5:T$200,"&gt;="&amp;'📅 Semana'!B$7,'Registro Incidencias'!T$5:T$200,"&lt;="&amp;'📅 Semana'!B$13)</f>
        <v>0</v>
      </c>
    </row>
    <row r="83" spans="1:10" ht="18" customHeight="1" x14ac:dyDescent="0.25">
      <c r="A83" s="134" t="s">
        <v>108</v>
      </c>
      <c r="B83" s="134"/>
      <c r="C83" s="134"/>
      <c r="D83" s="134"/>
      <c r="E83" s="134"/>
      <c r="F83" s="134"/>
      <c r="G83" s="134"/>
      <c r="H83" s="134"/>
      <c r="I83" s="134"/>
      <c r="J83" s="83">
        <f>SUMIFS('Registro Incidencias'!X$5:X$200,'Registro Incidencias'!S$5:S$200,"Adrián",'Registro Incidencias'!T$5:T$200,"&gt;="&amp;'📅 Semana'!B$7,'Registro Incidencias'!T$5:T$200,"&lt;="&amp;'📅 Semana'!B$13)</f>
        <v>0</v>
      </c>
    </row>
  </sheetData>
  <mergeCells count="33">
    <mergeCell ref="A79:I79"/>
    <mergeCell ref="A80:I80"/>
    <mergeCell ref="A81:I81"/>
    <mergeCell ref="A82:I82"/>
    <mergeCell ref="A83:I83"/>
    <mergeCell ref="A74:S74"/>
    <mergeCell ref="A75:I75"/>
    <mergeCell ref="A76:I76"/>
    <mergeCell ref="A77:I77"/>
    <mergeCell ref="A78:I78"/>
    <mergeCell ref="A53:S53"/>
    <mergeCell ref="A61:I61"/>
    <mergeCell ref="J61:P61"/>
    <mergeCell ref="A63:S63"/>
    <mergeCell ref="A71:I71"/>
    <mergeCell ref="J71:P71"/>
    <mergeCell ref="A33:S33"/>
    <mergeCell ref="A41:I41"/>
    <mergeCell ref="J41:P41"/>
    <mergeCell ref="A43:S43"/>
    <mergeCell ref="A51:I51"/>
    <mergeCell ref="J51:P51"/>
    <mergeCell ref="A13:S13"/>
    <mergeCell ref="A21:I21"/>
    <mergeCell ref="J21:P21"/>
    <mergeCell ref="A23:S23"/>
    <mergeCell ref="A31:I31"/>
    <mergeCell ref="J31:P31"/>
    <mergeCell ref="A1:S1"/>
    <mergeCell ref="A2:S2"/>
    <mergeCell ref="A3:S3"/>
    <mergeCell ref="A11:I11"/>
    <mergeCell ref="J11:P11"/>
  </mergeCells>
  <conditionalFormatting sqref="A5:R73">
    <cfRule type="expression" dxfId="7" priority="6">
      <formula>OR(ISNUMBER(SEARCH("Resuelta",$O5)),ISNUMBER(SEARCH("Cerrada",$O5)))</formula>
    </cfRule>
    <cfRule type="expression" dxfId="6" priority="7">
      <formula>OR(ISNUMBER(SEARCH("Pospuesta",$O5)),ISNUMBER(SEARCH("Espera",$O5)))</formula>
    </cfRule>
    <cfRule type="expression" dxfId="5" priority="8">
      <formula>ISNUMBER(SEARCH("No resuelta",$O5))</formula>
    </cfRule>
  </conditionalFormatting>
  <conditionalFormatting sqref="C5:C73">
    <cfRule type="expression" dxfId="4" priority="2">
      <formula>NOT(ISERROR(SEARCH("CRÍTICA",C5)))</formula>
    </cfRule>
    <cfRule type="expression" dxfId="3" priority="3">
      <formula>NOT(ISERROR(SEARCH("ALTA",C5)))</formula>
    </cfRule>
    <cfRule type="expression" dxfId="2" priority="4">
      <formula>NOT(ISERROR(SEARCH("MEDIA",C5)))</formula>
    </cfRule>
    <cfRule type="expression" dxfId="1" priority="5">
      <formula>NOT(ISERROR(SEARCH("BAJA",C5)))</formula>
    </cfRule>
  </conditionalFormatting>
  <conditionalFormatting sqref="P5:P73">
    <cfRule type="expression" dxfId="0" priority="9">
      <formula>P5&lt;&gt;""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C3483"/>
  </sheetPr>
  <dimension ref="A1:L57"/>
  <sheetViews>
    <sheetView zoomScaleNormal="100" workbookViewId="0">
      <pane ySplit="2" topLeftCell="A26" activePane="bottomLeft" state="frozen"/>
      <selection pane="bottomLeft" sqref="A1:L1"/>
    </sheetView>
  </sheetViews>
  <sheetFormatPr baseColWidth="10" defaultColWidth="8.7109375" defaultRowHeight="15" x14ac:dyDescent="0.25"/>
  <cols>
    <col min="1" max="1" width="30" customWidth="1"/>
    <col min="2" max="2" width="12" customWidth="1"/>
    <col min="3" max="3" width="10" customWidth="1"/>
    <col min="4" max="4" width="12" customWidth="1"/>
    <col min="5" max="5" width="10" customWidth="1"/>
    <col min="6" max="6" width="14" customWidth="1"/>
    <col min="7" max="7" width="4" customWidth="1"/>
    <col min="8" max="8" width="14" customWidth="1"/>
    <col min="9" max="9" width="12" customWidth="1"/>
    <col min="10" max="10" width="10" customWidth="1"/>
    <col min="11" max="11" width="12" customWidth="1"/>
    <col min="12" max="12" width="14" customWidth="1"/>
  </cols>
  <sheetData>
    <row r="1" spans="1:12" ht="42" customHeight="1" x14ac:dyDescent="0.25">
      <c r="A1" s="14" t="s">
        <v>117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" customHeight="1" x14ac:dyDescent="0.25">
      <c r="A2" s="140" t="s">
        <v>118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4" spans="1:12" ht="25.5" customHeight="1" x14ac:dyDescent="0.25">
      <c r="A4" s="141" t="s">
        <v>119</v>
      </c>
      <c r="B4" s="141"/>
      <c r="C4" s="141" t="s">
        <v>120</v>
      </c>
      <c r="D4" s="141"/>
      <c r="E4" s="141" t="s">
        <v>121</v>
      </c>
      <c r="F4" s="141"/>
      <c r="G4" s="141" t="s">
        <v>122</v>
      </c>
      <c r="H4" s="141"/>
      <c r="I4" s="141" t="s">
        <v>123</v>
      </c>
      <c r="J4" s="141"/>
      <c r="K4" s="141" t="s">
        <v>124</v>
      </c>
      <c r="L4" s="141"/>
    </row>
    <row r="5" spans="1:12" ht="43.5" customHeight="1" x14ac:dyDescent="0.25">
      <c r="A5" s="142">
        <f>COUNTA('Registro Incidencias'!B5:B200)</f>
        <v>0</v>
      </c>
      <c r="B5" s="142"/>
      <c r="C5" s="142">
        <f>COUNTIF('Registro Incidencias'!AK5:AK200,"*Resuelta*")+COUNTIF('Registro Incidencias'!AK5:AK200,"*Cerrada*")</f>
        <v>0</v>
      </c>
      <c r="D5" s="142"/>
      <c r="E5" s="142">
        <f>COUNTA('Registro Incidencias'!B5:B200)-(COUNTIF('Registro Incidencias'!AK5:AK200,"*Resuelta*")+COUNTIF('Registro Incidencias'!AK5:AK200,"*Cerrada*"))</f>
        <v>0</v>
      </c>
      <c r="F5" s="142"/>
      <c r="G5" s="143">
        <f>IFERROR((COUNTIF('Registro Incidencias'!AK5:AK200,"*Resuelta*")+COUNTIF('Registro Incidencias'!AK5:AK200,"*Cerrada*"))/COUNTA('Registro Incidencias'!B5:B200),0)</f>
        <v>0</v>
      </c>
      <c r="H5" s="143"/>
      <c r="I5" s="144">
        <f>IFERROR(AVERAGE('Registro Incidencias'!AO5:AO200),0)</f>
        <v>0</v>
      </c>
      <c r="J5" s="144"/>
      <c r="K5" s="145">
        <f>SUM('Registro Incidencias'!AS5:AS200)</f>
        <v>0</v>
      </c>
      <c r="L5" s="145"/>
    </row>
    <row r="7" spans="1:12" ht="15" customHeight="1" x14ac:dyDescent="0.25">
      <c r="A7" s="8" t="s">
        <v>125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5" customHeight="1" x14ac:dyDescent="0.25">
      <c r="A8" s="146" t="s">
        <v>126</v>
      </c>
      <c r="B8" s="146"/>
      <c r="C8" s="146" t="s">
        <v>127</v>
      </c>
      <c r="D8" s="146"/>
      <c r="E8" s="146" t="s">
        <v>128</v>
      </c>
      <c r="F8" s="146"/>
      <c r="G8" s="146" t="s">
        <v>30</v>
      </c>
      <c r="H8" s="146"/>
      <c r="I8" s="146" t="s">
        <v>129</v>
      </c>
      <c r="J8" s="146"/>
      <c r="K8" s="146" t="s">
        <v>130</v>
      </c>
      <c r="L8" s="146"/>
    </row>
    <row r="9" spans="1:12" ht="20.25" customHeight="1" x14ac:dyDescent="0.25">
      <c r="A9" s="147">
        <f>SUM('Registro Incidencias'!AQ5:AQ200)</f>
        <v>0</v>
      </c>
      <c r="B9" s="147"/>
      <c r="C9" s="147">
        <f>SUM('Registro Incidencias'!AG5:AG200)</f>
        <v>0</v>
      </c>
      <c r="D9" s="147"/>
      <c r="E9" s="147">
        <f>SUM('Registro Incidencias'!AR5:AR200)</f>
        <v>0</v>
      </c>
      <c r="F9" s="147"/>
      <c r="G9" s="148">
        <f>SUM('Registro Incidencias'!X5:X200)</f>
        <v>0</v>
      </c>
      <c r="H9" s="148"/>
      <c r="I9" s="148">
        <f>COUNTIF('Registro Incidencias'!AD5:AD200,"&gt;1")</f>
        <v>0</v>
      </c>
      <c r="J9" s="148"/>
      <c r="K9" s="149">
        <f>IFERROR(1-COUNTIF('Registro Incidencias'!AD5:AD200,"&gt;1")/COUNTA('Registro Incidencias'!B5:B200),0)</f>
        <v>0</v>
      </c>
      <c r="L9" s="149"/>
    </row>
    <row r="11" spans="1:12" ht="15" customHeight="1" x14ac:dyDescent="0.25">
      <c r="A11" s="150" t="s">
        <v>131</v>
      </c>
      <c r="B11" s="150"/>
      <c r="C11" s="150"/>
      <c r="D11" s="150"/>
      <c r="E11" s="150"/>
      <c r="F11" s="150"/>
    </row>
    <row r="12" spans="1:12" ht="23.25" customHeight="1" x14ac:dyDescent="0.25">
      <c r="A12" s="86" t="s">
        <v>132</v>
      </c>
      <c r="B12" s="86" t="s">
        <v>85</v>
      </c>
      <c r="C12" s="86" t="s">
        <v>133</v>
      </c>
      <c r="D12" s="86" t="s">
        <v>134</v>
      </c>
      <c r="E12" s="86" t="s">
        <v>135</v>
      </c>
      <c r="F12" s="86" t="s">
        <v>136</v>
      </c>
    </row>
    <row r="13" spans="1:12" ht="15" customHeight="1" x14ac:dyDescent="0.25">
      <c r="A13" s="87" t="s">
        <v>137</v>
      </c>
      <c r="B13" s="88">
        <f>COUNTIF('Registro Incidencias'!AE5:AE200,A13)</f>
        <v>0</v>
      </c>
      <c r="C13" s="89">
        <f>IFERROR(B13/COUNTIF('Registro Incidencias'!AD5:AD200,"&gt;1"),0)</f>
        <v>0</v>
      </c>
      <c r="D13" s="90">
        <f>SUMIF('Registro Incidencias'!AE5:AE200,A13,'Registro Incidencias'!AS5:AS200)</f>
        <v>0</v>
      </c>
      <c r="E13" s="91" t="s">
        <v>138</v>
      </c>
      <c r="F13" s="92"/>
    </row>
    <row r="14" spans="1:12" ht="15" customHeight="1" x14ac:dyDescent="0.25">
      <c r="A14" s="93" t="s">
        <v>139</v>
      </c>
      <c r="B14" s="94">
        <f>COUNTIF('Registro Incidencias'!AE5:AE200,A14)</f>
        <v>0</v>
      </c>
      <c r="C14" s="95">
        <f>IFERROR(B14/COUNTIF('Registro Incidencias'!AD5:AD200,"&gt;1"),0)</f>
        <v>0</v>
      </c>
      <c r="D14" s="96">
        <f>SUMIF('Registro Incidencias'!AE5:AE200,A14,'Registro Incidencias'!AS5:AS200)</f>
        <v>0</v>
      </c>
      <c r="E14" s="97" t="s">
        <v>138</v>
      </c>
      <c r="F14" s="98"/>
    </row>
    <row r="15" spans="1:12" ht="15" customHeight="1" x14ac:dyDescent="0.25">
      <c r="A15" s="87" t="s">
        <v>140</v>
      </c>
      <c r="B15" s="88">
        <f>COUNTIF('Registro Incidencias'!AE5:AE200,A15)</f>
        <v>0</v>
      </c>
      <c r="C15" s="89">
        <f>IFERROR(B15/COUNTIF('Registro Incidencias'!AD5:AD200,"&gt;1"),0)</f>
        <v>0</v>
      </c>
      <c r="D15" s="90">
        <f>SUMIF('Registro Incidencias'!AE5:AE200,A15,'Registro Incidencias'!AS5:AS200)</f>
        <v>0</v>
      </c>
      <c r="E15" s="91" t="s">
        <v>138</v>
      </c>
      <c r="F15" s="92"/>
    </row>
    <row r="16" spans="1:12" ht="15" customHeight="1" x14ac:dyDescent="0.25">
      <c r="A16" s="93" t="s">
        <v>141</v>
      </c>
      <c r="B16" s="94">
        <f>COUNTIF('Registro Incidencias'!AE5:AE200,A16)</f>
        <v>0</v>
      </c>
      <c r="C16" s="95">
        <f>IFERROR(B16/COUNTIF('Registro Incidencias'!AD5:AD200,"&gt;1"),0)</f>
        <v>0</v>
      </c>
      <c r="D16" s="96">
        <f>SUMIF('Registro Incidencias'!AE5:AE200,A16,'Registro Incidencias'!AS5:AS200)</f>
        <v>0</v>
      </c>
      <c r="E16" s="97" t="s">
        <v>142</v>
      </c>
      <c r="F16" s="98"/>
    </row>
    <row r="17" spans="1:12" ht="15" customHeight="1" x14ac:dyDescent="0.25">
      <c r="A17" s="87" t="s">
        <v>143</v>
      </c>
      <c r="B17" s="88">
        <f>COUNTIF('Registro Incidencias'!AE5:AE200,A17)</f>
        <v>0</v>
      </c>
      <c r="C17" s="89">
        <f>IFERROR(B17/COUNTIF('Registro Incidencias'!AD5:AD200,"&gt;1"),0)</f>
        <v>0</v>
      </c>
      <c r="D17" s="90">
        <f>SUMIF('Registro Incidencias'!AE5:AE200,A17,'Registro Incidencias'!AS5:AS200)</f>
        <v>0</v>
      </c>
      <c r="E17" s="91" t="s">
        <v>144</v>
      </c>
      <c r="F17" s="92"/>
    </row>
    <row r="18" spans="1:12" ht="15" customHeight="1" x14ac:dyDescent="0.25">
      <c r="A18" s="93" t="s">
        <v>145</v>
      </c>
      <c r="B18" s="94">
        <f>COUNTIF('Registro Incidencias'!AE5:AE200,A18)</f>
        <v>0</v>
      </c>
      <c r="C18" s="95">
        <f>IFERROR(B18/COUNTIF('Registro Incidencias'!AD5:AD200,"&gt;1"),0)</f>
        <v>0</v>
      </c>
      <c r="D18" s="96">
        <f>SUMIF('Registro Incidencias'!AE5:AE200,A18,'Registro Incidencias'!AS5:AS200)</f>
        <v>0</v>
      </c>
      <c r="E18" s="97" t="s">
        <v>144</v>
      </c>
      <c r="F18" s="98"/>
    </row>
    <row r="19" spans="1:12" ht="15" customHeight="1" x14ac:dyDescent="0.25">
      <c r="A19" s="87" t="s">
        <v>146</v>
      </c>
      <c r="B19" s="88">
        <f>COUNTIF('Registro Incidencias'!AE5:AE200,A19)</f>
        <v>0</v>
      </c>
      <c r="C19" s="89">
        <f>IFERROR(B19/COUNTIF('Registro Incidencias'!AD5:AD200,"&gt;1"),0)</f>
        <v>0</v>
      </c>
      <c r="D19" s="90">
        <f>SUMIF('Registro Incidencias'!AE5:AE200,A19,'Registro Incidencias'!AS5:AS200)</f>
        <v>0</v>
      </c>
      <c r="E19" s="91" t="s">
        <v>144</v>
      </c>
      <c r="F19" s="92"/>
    </row>
    <row r="20" spans="1:12" ht="15" customHeight="1" x14ac:dyDescent="0.25">
      <c r="A20" s="93" t="s">
        <v>147</v>
      </c>
      <c r="B20" s="94">
        <f>COUNTIF('Registro Incidencias'!AE5:AE200,A20)</f>
        <v>0</v>
      </c>
      <c r="C20" s="95">
        <f>IFERROR(B20/COUNTIF('Registro Incidencias'!AD5:AD200,"&gt;1"),0)</f>
        <v>0</v>
      </c>
      <c r="D20" s="96">
        <f>SUMIF('Registro Incidencias'!AE5:AE200,A20,'Registro Incidencias'!AS5:AS200)</f>
        <v>0</v>
      </c>
      <c r="E20" s="97" t="s">
        <v>142</v>
      </c>
      <c r="F20" s="98"/>
    </row>
    <row r="21" spans="1:12" ht="15" customHeight="1" x14ac:dyDescent="0.25">
      <c r="A21" s="87" t="s">
        <v>148</v>
      </c>
      <c r="B21" s="88">
        <f>COUNTIF('Registro Incidencias'!AE5:AE200,A21)</f>
        <v>0</v>
      </c>
      <c r="C21" s="89">
        <f>IFERROR(B21/COUNTIF('Registro Incidencias'!AD5:AD200,"&gt;1"),0)</f>
        <v>0</v>
      </c>
      <c r="D21" s="90">
        <f>SUMIF('Registro Incidencias'!AE5:AE200,A21,'Registro Incidencias'!AS5:AS200)</f>
        <v>0</v>
      </c>
      <c r="E21" s="91" t="s">
        <v>144</v>
      </c>
      <c r="F21" s="92"/>
    </row>
    <row r="22" spans="1:12" ht="15" customHeight="1" x14ac:dyDescent="0.25">
      <c r="A22" s="93" t="s">
        <v>149</v>
      </c>
      <c r="B22" s="94">
        <f>COUNTIF('Registro Incidencias'!AE5:AE200,A22)</f>
        <v>0</v>
      </c>
      <c r="C22" s="95">
        <f>IFERROR(B22/COUNTIF('Registro Incidencias'!AD5:AD200,"&gt;1"),0)</f>
        <v>0</v>
      </c>
      <c r="D22" s="96">
        <f>SUMIF('Registro Incidencias'!AE5:AE200,A22,'Registro Incidencias'!AS5:AS200)</f>
        <v>0</v>
      </c>
      <c r="E22" s="97" t="s">
        <v>142</v>
      </c>
      <c r="F22" s="98"/>
    </row>
    <row r="23" spans="1:12" ht="15" customHeight="1" x14ac:dyDescent="0.25">
      <c r="A23" s="87" t="s">
        <v>150</v>
      </c>
      <c r="B23" s="88">
        <f>COUNTIF('Registro Incidencias'!AE5:AE200,A23)</f>
        <v>0</v>
      </c>
      <c r="C23" s="89">
        <f>IFERROR(B23/COUNTIF('Registro Incidencias'!AD5:AD200,"&gt;1"),0)</f>
        <v>0</v>
      </c>
      <c r="D23" s="90">
        <f>SUMIF('Registro Incidencias'!AE5:AE200,A23,'Registro Incidencias'!AS5:AS200)</f>
        <v>0</v>
      </c>
      <c r="E23" s="91" t="s">
        <v>144</v>
      </c>
      <c r="F23" s="92"/>
    </row>
    <row r="25" spans="1:12" ht="15" customHeight="1" x14ac:dyDescent="0.25">
      <c r="A25" s="10" t="s">
        <v>151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34.5" customHeight="1" x14ac:dyDescent="0.25">
      <c r="A26" s="17" t="s">
        <v>74</v>
      </c>
      <c r="B26" s="17" t="s">
        <v>152</v>
      </c>
      <c r="C26" s="17" t="s">
        <v>153</v>
      </c>
      <c r="D26" s="17" t="s">
        <v>154</v>
      </c>
      <c r="E26" s="17" t="s">
        <v>155</v>
      </c>
      <c r="F26" s="17" t="s">
        <v>156</v>
      </c>
      <c r="G26" s="17" t="s">
        <v>157</v>
      </c>
      <c r="H26" s="17" t="s">
        <v>158</v>
      </c>
      <c r="I26" s="17" t="s">
        <v>159</v>
      </c>
      <c r="J26" s="17" t="s">
        <v>160</v>
      </c>
      <c r="K26" s="17" t="s">
        <v>161</v>
      </c>
      <c r="L26" s="17" t="s">
        <v>162</v>
      </c>
    </row>
    <row r="27" spans="1:12" ht="15" customHeight="1" x14ac:dyDescent="0.25">
      <c r="A27" s="99" t="s">
        <v>77</v>
      </c>
      <c r="B27" s="90">
        <v>15.8</v>
      </c>
      <c r="C27" s="100">
        <f>COUNTIF('Registro Incidencias'!S5:S200,A27)</f>
        <v>0</v>
      </c>
      <c r="D27" s="100">
        <f>COUNTIFS('Registro Incidencias'!S5:S200,A27,'Registro Incidencias'!AK5:AK200,"*Resuelta*")+COUNTIFS('Registro Incidencias'!S5:S200,A27,'Registro Incidencias'!AK5:AK200,"*Cerrada*")</f>
        <v>0</v>
      </c>
      <c r="E27" s="89">
        <f>IFERROR(D27/C27,0)</f>
        <v>0</v>
      </c>
      <c r="F27" s="100">
        <f>COUNTIFS('Registro Incidencias'!S5:S200,A27,'Registro Incidencias'!AD5:AD200,"&gt;1")</f>
        <v>0</v>
      </c>
      <c r="G27" s="100">
        <f>COUNTIFS('Registro Incidencias'!S5:S200,A27,'Registro Incidencias'!AE5:AE200,"Fallo del técnico")</f>
        <v>0</v>
      </c>
      <c r="H27" s="90">
        <f>SUMIFS('Registro Incidencias'!AQ5:AQ200,'Registro Incidencias'!S5:S200,A27)</f>
        <v>0</v>
      </c>
      <c r="I27" s="90">
        <f>SUMIFS('Registro Incidencias'!AR5:AR200,'Registro Incidencias'!S5:S200,A27)</f>
        <v>0</v>
      </c>
      <c r="J27" s="100">
        <f>SUMIFS('Registro Incidencias'!X5:X200,'Registro Incidencias'!S5:S200,A27)</f>
        <v>0</v>
      </c>
      <c r="K27" s="90">
        <f>SUMIFS('Registro Incidencias'!AG5:AG200,'Registro Incidencias'!S5:S200,A27)</f>
        <v>0</v>
      </c>
      <c r="L27" s="90">
        <f>SUMIFS('Registro Incidencias'!AS5:AS200,'Registro Incidencias'!S5:S200,A27)</f>
        <v>0</v>
      </c>
    </row>
    <row r="28" spans="1:12" ht="15" customHeight="1" x14ac:dyDescent="0.25">
      <c r="A28" s="101" t="s">
        <v>78</v>
      </c>
      <c r="B28" s="96">
        <v>17.5</v>
      </c>
      <c r="C28" s="102">
        <f>COUNTIF('Registro Incidencias'!S5:S200,A28)</f>
        <v>0</v>
      </c>
      <c r="D28" s="102">
        <f>COUNTIFS('Registro Incidencias'!S5:S200,A28,'Registro Incidencias'!AK5:AK200,"*Resuelta*")+COUNTIFS('Registro Incidencias'!S5:S200,A28,'Registro Incidencias'!AK5:AK200,"*Cerrada*")</f>
        <v>0</v>
      </c>
      <c r="E28" s="95">
        <f>IFERROR(D28/C28,0)</f>
        <v>0</v>
      </c>
      <c r="F28" s="102">
        <f>COUNTIFS('Registro Incidencias'!S5:S200,A28,'Registro Incidencias'!AD5:AD200,"&gt;1")</f>
        <v>0</v>
      </c>
      <c r="G28" s="102">
        <f>COUNTIFS('Registro Incidencias'!S5:S200,A28,'Registro Incidencias'!AE5:AE200,"Fallo del técnico")</f>
        <v>0</v>
      </c>
      <c r="H28" s="96">
        <f>SUMIFS('Registro Incidencias'!AQ5:AQ200,'Registro Incidencias'!S5:S200,A28)</f>
        <v>0</v>
      </c>
      <c r="I28" s="96">
        <f>SUMIFS('Registro Incidencias'!AR5:AR200,'Registro Incidencias'!S5:S200,A28)</f>
        <v>0</v>
      </c>
      <c r="J28" s="102">
        <f>SUMIFS('Registro Incidencias'!X5:X200,'Registro Incidencias'!S5:S200,A28)</f>
        <v>0</v>
      </c>
      <c r="K28" s="96">
        <f>SUMIFS('Registro Incidencias'!AG5:AG200,'Registro Incidencias'!S5:S200,A28)</f>
        <v>0</v>
      </c>
      <c r="L28" s="96">
        <f>SUMIFS('Registro Incidencias'!AS5:AS200,'Registro Incidencias'!S5:S200,A28)</f>
        <v>0</v>
      </c>
    </row>
    <row r="29" spans="1:12" ht="15" customHeight="1" x14ac:dyDescent="0.25">
      <c r="A29" s="99" t="s">
        <v>79</v>
      </c>
      <c r="B29" s="90">
        <v>13.5</v>
      </c>
      <c r="C29" s="100">
        <f>COUNTIF('Registro Incidencias'!S5:S200,A29)</f>
        <v>0</v>
      </c>
      <c r="D29" s="100">
        <f>COUNTIFS('Registro Incidencias'!S5:S200,A29,'Registro Incidencias'!AK5:AK200,"*Resuelta*")+COUNTIFS('Registro Incidencias'!S5:S200,A29,'Registro Incidencias'!AK5:AK200,"*Cerrada*")</f>
        <v>0</v>
      </c>
      <c r="E29" s="89">
        <f>IFERROR(D29/C29,0)</f>
        <v>0</v>
      </c>
      <c r="F29" s="100">
        <f>COUNTIFS('Registro Incidencias'!S5:S200,A29,'Registro Incidencias'!AD5:AD200,"&gt;1")</f>
        <v>0</v>
      </c>
      <c r="G29" s="100">
        <f>COUNTIFS('Registro Incidencias'!S5:S200,A29,'Registro Incidencias'!AE5:AE200,"Fallo del técnico")</f>
        <v>0</v>
      </c>
      <c r="H29" s="90">
        <f>SUMIFS('Registro Incidencias'!AQ5:AQ200,'Registro Incidencias'!S5:S200,A29)</f>
        <v>0</v>
      </c>
      <c r="I29" s="90">
        <f>SUMIFS('Registro Incidencias'!AR5:AR200,'Registro Incidencias'!S5:S200,A29)</f>
        <v>0</v>
      </c>
      <c r="J29" s="100">
        <f>SUMIFS('Registro Incidencias'!X5:X200,'Registro Incidencias'!S5:S200,A29)</f>
        <v>0</v>
      </c>
      <c r="K29" s="90">
        <f>SUMIFS('Registro Incidencias'!AG5:AG200,'Registro Incidencias'!S5:S200,A29)</f>
        <v>0</v>
      </c>
      <c r="L29" s="90">
        <f>SUMIFS('Registro Incidencias'!AS5:AS200,'Registro Incidencias'!S5:S200,A29)</f>
        <v>0</v>
      </c>
    </row>
    <row r="30" spans="1:12" ht="15" customHeight="1" x14ac:dyDescent="0.25">
      <c r="A30" s="101" t="s">
        <v>80</v>
      </c>
      <c r="B30" s="96">
        <v>18.899999999999999</v>
      </c>
      <c r="C30" s="102">
        <f>COUNTIF('Registro Incidencias'!S5:S200,A30)</f>
        <v>0</v>
      </c>
      <c r="D30" s="102">
        <f>COUNTIFS('Registro Incidencias'!S5:S200,A30,'Registro Incidencias'!AK5:AK200,"*Resuelta*")+COUNTIFS('Registro Incidencias'!S5:S200,A30,'Registro Incidencias'!AK5:AK200,"*Cerrada*")</f>
        <v>0</v>
      </c>
      <c r="E30" s="95">
        <f>IFERROR(D30/C30,0)</f>
        <v>0</v>
      </c>
      <c r="F30" s="102">
        <f>COUNTIFS('Registro Incidencias'!S5:S200,A30,'Registro Incidencias'!AD5:AD200,"&gt;1")</f>
        <v>0</v>
      </c>
      <c r="G30" s="102">
        <f>COUNTIFS('Registro Incidencias'!S5:S200,A30,'Registro Incidencias'!AE5:AE200,"Fallo del técnico")</f>
        <v>0</v>
      </c>
      <c r="H30" s="96">
        <f>SUMIFS('Registro Incidencias'!AQ5:AQ200,'Registro Incidencias'!S5:S200,A30)</f>
        <v>0</v>
      </c>
      <c r="I30" s="96">
        <f>SUMIFS('Registro Incidencias'!AR5:AR200,'Registro Incidencias'!S5:S200,A30)</f>
        <v>0</v>
      </c>
      <c r="J30" s="102">
        <f>SUMIFS('Registro Incidencias'!X5:X200,'Registro Incidencias'!S5:S200,A30)</f>
        <v>0</v>
      </c>
      <c r="K30" s="96">
        <f>SUMIFS('Registro Incidencias'!AG5:AG200,'Registro Incidencias'!S5:S200,A30)</f>
        <v>0</v>
      </c>
      <c r="L30" s="96">
        <f>SUMIFS('Registro Incidencias'!AS5:AS200,'Registro Incidencias'!S5:S200,A30)</f>
        <v>0</v>
      </c>
    </row>
    <row r="31" spans="1:12" ht="15" customHeight="1" x14ac:dyDescent="0.25">
      <c r="A31" s="99" t="s">
        <v>81</v>
      </c>
      <c r="B31" s="90">
        <v>13.5</v>
      </c>
      <c r="C31" s="100">
        <f>COUNTIF('Registro Incidencias'!S5:S200,A31)</f>
        <v>0</v>
      </c>
      <c r="D31" s="100">
        <f>COUNTIFS('Registro Incidencias'!S5:S200,A31,'Registro Incidencias'!AK5:AK200,"*Resuelta*")+COUNTIFS('Registro Incidencias'!S5:S200,A31,'Registro Incidencias'!AK5:AK200,"*Cerrada*")</f>
        <v>0</v>
      </c>
      <c r="E31" s="89">
        <f>IFERROR(D31/C31,0)</f>
        <v>0</v>
      </c>
      <c r="F31" s="100">
        <f>COUNTIFS('Registro Incidencias'!S5:S200,A31,'Registro Incidencias'!AD5:AD200,"&gt;1")</f>
        <v>0</v>
      </c>
      <c r="G31" s="100">
        <f>COUNTIFS('Registro Incidencias'!S5:S200,A31,'Registro Incidencias'!AE5:AE200,"Fallo del técnico")</f>
        <v>0</v>
      </c>
      <c r="H31" s="90">
        <f>SUMIFS('Registro Incidencias'!AQ5:AQ200,'Registro Incidencias'!S5:S200,A31)</f>
        <v>0</v>
      </c>
      <c r="I31" s="90">
        <f>SUMIFS('Registro Incidencias'!AR5:AR200,'Registro Incidencias'!S5:S200,A31)</f>
        <v>0</v>
      </c>
      <c r="J31" s="100">
        <f>SUMIFS('Registro Incidencias'!X5:X200,'Registro Incidencias'!S5:S200,A31)</f>
        <v>0</v>
      </c>
      <c r="K31" s="90">
        <f>SUMIFS('Registro Incidencias'!AG5:AG200,'Registro Incidencias'!S5:S200,A31)</f>
        <v>0</v>
      </c>
      <c r="L31" s="90">
        <f>SUMIFS('Registro Incidencias'!AS5:AS200,'Registro Incidencias'!S5:S200,A31)</f>
        <v>0</v>
      </c>
    </row>
    <row r="33" spans="1:12" ht="15" customHeight="1" x14ac:dyDescent="0.25">
      <c r="A33" s="11" t="s">
        <v>163</v>
      </c>
      <c r="B33" s="11"/>
      <c r="C33" s="11"/>
      <c r="D33" s="11"/>
      <c r="E33" s="11"/>
      <c r="F33" s="11"/>
    </row>
    <row r="34" spans="1:12" ht="15" customHeight="1" x14ac:dyDescent="0.25">
      <c r="A34" s="16" t="s">
        <v>164</v>
      </c>
      <c r="B34" s="16" t="s">
        <v>85</v>
      </c>
      <c r="C34" s="16" t="s">
        <v>133</v>
      </c>
      <c r="D34" s="16" t="s">
        <v>120</v>
      </c>
      <c r="E34" s="16" t="s">
        <v>165</v>
      </c>
      <c r="F34" s="16" t="s">
        <v>134</v>
      </c>
    </row>
    <row r="35" spans="1:12" ht="15" customHeight="1" x14ac:dyDescent="0.25">
      <c r="A35" s="87" t="s">
        <v>166</v>
      </c>
      <c r="B35" s="88">
        <f>COUNTIF('Registro Incidencias'!M5:M200,A35)</f>
        <v>0</v>
      </c>
      <c r="C35" s="89">
        <f>IFERROR(B35/COUNTA('Registro Incidencias'!B5:B200),0)</f>
        <v>0</v>
      </c>
      <c r="D35" s="88">
        <f>COUNTIFS('Registro Incidencias'!M5:M200,A35,'Registro Incidencias'!AK5:AK200,"*Resuelta*")+COUNTIFS('Registro Incidencias'!M5:M200,A35,'Registro Incidencias'!AK5:AK200,"*Cerrada*")</f>
        <v>0</v>
      </c>
      <c r="E35" s="88">
        <f t="shared" ref="E35:E43" si="0">B35-D35</f>
        <v>0</v>
      </c>
      <c r="F35" s="90">
        <f>SUMIFS('Registro Incidencias'!AS5:AS200,'Registro Incidencias'!M5:M200,A35)</f>
        <v>0</v>
      </c>
    </row>
    <row r="36" spans="1:12" ht="15" customHeight="1" x14ac:dyDescent="0.25">
      <c r="A36" s="93" t="s">
        <v>167</v>
      </c>
      <c r="B36" s="94">
        <f>COUNTIF('Registro Incidencias'!M5:M200,A36)</f>
        <v>0</v>
      </c>
      <c r="C36" s="95">
        <f>IFERROR(B36/COUNTA('Registro Incidencias'!B5:B200),0)</f>
        <v>0</v>
      </c>
      <c r="D36" s="94">
        <f>COUNTIFS('Registro Incidencias'!M5:M200,A36,'Registro Incidencias'!AK5:AK200,"*Resuelta*")+COUNTIFS('Registro Incidencias'!M5:M200,A36,'Registro Incidencias'!AK5:AK200,"*Cerrada*")</f>
        <v>0</v>
      </c>
      <c r="E36" s="94">
        <f t="shared" si="0"/>
        <v>0</v>
      </c>
      <c r="F36" s="96">
        <f>SUMIFS('Registro Incidencias'!AS5:AS200,'Registro Incidencias'!M5:M200,A36)</f>
        <v>0</v>
      </c>
    </row>
    <row r="37" spans="1:12" ht="15" customHeight="1" x14ac:dyDescent="0.25">
      <c r="A37" s="87" t="s">
        <v>168</v>
      </c>
      <c r="B37" s="88">
        <f>COUNTIF('Registro Incidencias'!M5:M200,A37)</f>
        <v>0</v>
      </c>
      <c r="C37" s="89">
        <f>IFERROR(B37/COUNTA('Registro Incidencias'!B5:B200),0)</f>
        <v>0</v>
      </c>
      <c r="D37" s="88">
        <f>COUNTIFS('Registro Incidencias'!M5:M200,A37,'Registro Incidencias'!AK5:AK200,"*Resuelta*")+COUNTIFS('Registro Incidencias'!M5:M200,A37,'Registro Incidencias'!AK5:AK200,"*Cerrada*")</f>
        <v>0</v>
      </c>
      <c r="E37" s="88">
        <f t="shared" si="0"/>
        <v>0</v>
      </c>
      <c r="F37" s="90">
        <f>SUMIFS('Registro Incidencias'!AS5:AS200,'Registro Incidencias'!M5:M200,A37)</f>
        <v>0</v>
      </c>
    </row>
    <row r="38" spans="1:12" ht="15" customHeight="1" x14ac:dyDescent="0.25">
      <c r="A38" s="93" t="s">
        <v>169</v>
      </c>
      <c r="B38" s="94">
        <f>COUNTIF('Registro Incidencias'!M5:M200,A38)</f>
        <v>0</v>
      </c>
      <c r="C38" s="95">
        <f>IFERROR(B38/COUNTA('Registro Incidencias'!B5:B200),0)</f>
        <v>0</v>
      </c>
      <c r="D38" s="94">
        <f>COUNTIFS('Registro Incidencias'!M5:M200,A38,'Registro Incidencias'!AK5:AK200,"*Resuelta*")+COUNTIFS('Registro Incidencias'!M5:M200,A38,'Registro Incidencias'!AK5:AK200,"*Cerrada*")</f>
        <v>0</v>
      </c>
      <c r="E38" s="94">
        <f t="shared" si="0"/>
        <v>0</v>
      </c>
      <c r="F38" s="96">
        <f>SUMIFS('Registro Incidencias'!AS5:AS200,'Registro Incidencias'!M5:M200,A38)</f>
        <v>0</v>
      </c>
    </row>
    <row r="39" spans="1:12" ht="15" customHeight="1" x14ac:dyDescent="0.25">
      <c r="A39" s="87" t="s">
        <v>170</v>
      </c>
      <c r="B39" s="88">
        <f>COUNTIF('Registro Incidencias'!M5:M200,A39)</f>
        <v>0</v>
      </c>
      <c r="C39" s="89">
        <f>IFERROR(B39/COUNTA('Registro Incidencias'!B5:B200),0)</f>
        <v>0</v>
      </c>
      <c r="D39" s="88">
        <f>COUNTIFS('Registro Incidencias'!M5:M200,A39,'Registro Incidencias'!AK5:AK200,"*Resuelta*")+COUNTIFS('Registro Incidencias'!M5:M200,A39,'Registro Incidencias'!AK5:AK200,"*Cerrada*")</f>
        <v>0</v>
      </c>
      <c r="E39" s="88">
        <f t="shared" si="0"/>
        <v>0</v>
      </c>
      <c r="F39" s="90">
        <f>SUMIFS('Registro Incidencias'!AS5:AS200,'Registro Incidencias'!M5:M200,A39)</f>
        <v>0</v>
      </c>
    </row>
    <row r="40" spans="1:12" ht="15" customHeight="1" x14ac:dyDescent="0.25">
      <c r="A40" s="93" t="s">
        <v>171</v>
      </c>
      <c r="B40" s="94">
        <f>COUNTIF('Registro Incidencias'!M5:M200,A40)</f>
        <v>0</v>
      </c>
      <c r="C40" s="95">
        <f>IFERROR(B40/COUNTA('Registro Incidencias'!B5:B200),0)</f>
        <v>0</v>
      </c>
      <c r="D40" s="94">
        <f>COUNTIFS('Registro Incidencias'!M5:M200,A40,'Registro Incidencias'!AK5:AK200,"*Resuelta*")+COUNTIFS('Registro Incidencias'!M5:M200,A40,'Registro Incidencias'!AK5:AK200,"*Cerrada*")</f>
        <v>0</v>
      </c>
      <c r="E40" s="94">
        <f t="shared" si="0"/>
        <v>0</v>
      </c>
      <c r="F40" s="96">
        <f>SUMIFS('Registro Incidencias'!AS5:AS200,'Registro Incidencias'!M5:M200,A40)</f>
        <v>0</v>
      </c>
    </row>
    <row r="41" spans="1:12" ht="15" customHeight="1" x14ac:dyDescent="0.25">
      <c r="A41" s="87" t="s">
        <v>172</v>
      </c>
      <c r="B41" s="88">
        <f>COUNTIF('Registro Incidencias'!M5:M200,A41)</f>
        <v>0</v>
      </c>
      <c r="C41" s="89">
        <f>IFERROR(B41/COUNTA('Registro Incidencias'!B5:B200),0)</f>
        <v>0</v>
      </c>
      <c r="D41" s="88">
        <f>COUNTIFS('Registro Incidencias'!M5:M200,A41,'Registro Incidencias'!AK5:AK200,"*Resuelta*")+COUNTIFS('Registro Incidencias'!M5:M200,A41,'Registro Incidencias'!AK5:AK200,"*Cerrada*")</f>
        <v>0</v>
      </c>
      <c r="E41" s="88">
        <f t="shared" si="0"/>
        <v>0</v>
      </c>
      <c r="F41" s="90">
        <f>SUMIFS('Registro Incidencias'!AS5:AS200,'Registro Incidencias'!M5:M200,A41)</f>
        <v>0</v>
      </c>
    </row>
    <row r="42" spans="1:12" ht="15" customHeight="1" x14ac:dyDescent="0.25">
      <c r="A42" s="93" t="s">
        <v>173</v>
      </c>
      <c r="B42" s="94">
        <f>COUNTIF('Registro Incidencias'!M5:M200,A42)</f>
        <v>0</v>
      </c>
      <c r="C42" s="95">
        <f>IFERROR(B42/COUNTA('Registro Incidencias'!B5:B200),0)</f>
        <v>0</v>
      </c>
      <c r="D42" s="94">
        <f>COUNTIFS('Registro Incidencias'!M5:M200,A42,'Registro Incidencias'!AK5:AK200,"*Resuelta*")+COUNTIFS('Registro Incidencias'!M5:M200,A42,'Registro Incidencias'!AK5:AK200,"*Cerrada*")</f>
        <v>0</v>
      </c>
      <c r="E42" s="94">
        <f t="shared" si="0"/>
        <v>0</v>
      </c>
      <c r="F42" s="96">
        <f>SUMIFS('Registro Incidencias'!AS5:AS200,'Registro Incidencias'!M5:M200,A42)</f>
        <v>0</v>
      </c>
    </row>
    <row r="43" spans="1:12" ht="15" customHeight="1" x14ac:dyDescent="0.25">
      <c r="A43" s="87" t="s">
        <v>174</v>
      </c>
      <c r="B43" s="88">
        <f>COUNTIF('Registro Incidencias'!M5:M200,A43)</f>
        <v>0</v>
      </c>
      <c r="C43" s="89">
        <f>IFERROR(B43/COUNTA('Registro Incidencias'!B5:B200),0)</f>
        <v>0</v>
      </c>
      <c r="D43" s="88">
        <f>COUNTIFS('Registro Incidencias'!M5:M200,A43,'Registro Incidencias'!AK5:AK200,"*Resuelta*")+COUNTIFS('Registro Incidencias'!M5:M200,A43,'Registro Incidencias'!AK5:AK200,"*Cerrada*")</f>
        <v>0</v>
      </c>
      <c r="E43" s="88">
        <f t="shared" si="0"/>
        <v>0</v>
      </c>
      <c r="F43" s="90">
        <f>SUMIFS('Registro Incidencias'!AS5:AS200,'Registro Incidencias'!M5:M200,A43)</f>
        <v>0</v>
      </c>
    </row>
    <row r="46" spans="1:12" ht="15" customHeight="1" x14ac:dyDescent="0.25">
      <c r="A46" s="9" t="s">
        <v>175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8.75" x14ac:dyDescent="0.25">
      <c r="A47" s="42" t="s">
        <v>176</v>
      </c>
      <c r="B47" s="103" t="s">
        <v>177</v>
      </c>
      <c r="C47" s="104">
        <f>MATCH(B47,{"Enero","Febrero","Marzo","Abril","Mayo","Junio","Julio","Agosto","Septiembre","Octubre","Noviembre","Diciembre"},0)</f>
        <v>2</v>
      </c>
      <c r="D47" s="105">
        <f>DATE(2026,C47,1)</f>
        <v>46054</v>
      </c>
      <c r="E47" s="105">
        <f>DATE(2026,C47+1,0)</f>
        <v>46081</v>
      </c>
    </row>
    <row r="48" spans="1:12" ht="15" customHeight="1" x14ac:dyDescent="0.25">
      <c r="A48" s="151" t="s">
        <v>178</v>
      </c>
      <c r="B48" s="151"/>
      <c r="C48" s="151" t="s">
        <v>120</v>
      </c>
      <c r="D48" s="151"/>
      <c r="E48" s="151" t="s">
        <v>121</v>
      </c>
      <c r="F48" s="151"/>
      <c r="G48" s="151" t="s">
        <v>155</v>
      </c>
      <c r="H48" s="151"/>
      <c r="I48" s="151" t="s">
        <v>179</v>
      </c>
      <c r="J48" s="151"/>
      <c r="K48" s="151" t="s">
        <v>129</v>
      </c>
      <c r="L48" s="151"/>
    </row>
    <row r="49" spans="1:12" ht="21" x14ac:dyDescent="0.25">
      <c r="A49" s="152">
        <f>COUNTIFS('Registro Incidencias'!B$5:B$200,"&gt;="&amp;D47,'Registro Incidencias'!B$5:B$200,"&lt;="&amp;E47)</f>
        <v>0</v>
      </c>
      <c r="B49" s="152"/>
      <c r="C49" s="152">
        <f>COUNTIFS('Registro Incidencias'!B$5:B$200,"&gt;="&amp;D47,'Registro Incidencias'!B$5:B$200,"&lt;="&amp;E47,'Registro Incidencias'!AK$5:AK$200,"*Resuelta*")+COUNTIFS('Registro Incidencias'!B$5:B$200,"&gt;="&amp;D47,'Registro Incidencias'!B$5:B$200,"&lt;="&amp;E47,'Registro Incidencias'!AK$5:AK$200,"*Cerrada*")</f>
        <v>0</v>
      </c>
      <c r="D49" s="152"/>
      <c r="E49" s="152">
        <f>A49-C49</f>
        <v>0</v>
      </c>
      <c r="F49" s="152"/>
      <c r="G49" s="153">
        <f>IFERROR(C49/A49,0)</f>
        <v>0</v>
      </c>
      <c r="H49" s="153"/>
      <c r="I49" s="154">
        <f>SUMIFS('Registro Incidencias'!AS$5:AS$200,'Registro Incidencias'!B$5:B$200,"&gt;="&amp;D47,'Registro Incidencias'!B$5:B$200,"&lt;="&amp;E47)</f>
        <v>0</v>
      </c>
      <c r="J49" s="154"/>
      <c r="K49" s="152">
        <f>COUNTIFS('Registro Incidencias'!B$5:B$200,"&gt;="&amp;D47,'Registro Incidencias'!B$5:B$200,"&lt;="&amp;E47,'Registro Incidencias'!AD$5:AD$200,"&gt;1")</f>
        <v>0</v>
      </c>
      <c r="L49" s="152"/>
    </row>
    <row r="51" spans="1:12" ht="15" customHeight="1" x14ac:dyDescent="0.25">
      <c r="A51" s="10" t="s">
        <v>180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25.5" x14ac:dyDescent="0.25">
      <c r="A52" s="17" t="s">
        <v>74</v>
      </c>
      <c r="B52" s="17" t="s">
        <v>152</v>
      </c>
      <c r="C52" s="17" t="s">
        <v>153</v>
      </c>
      <c r="D52" s="17" t="s">
        <v>154</v>
      </c>
      <c r="E52" s="17" t="s">
        <v>155</v>
      </c>
      <c r="F52" s="17" t="s">
        <v>156</v>
      </c>
      <c r="G52" s="17" t="s">
        <v>181</v>
      </c>
      <c r="H52" s="17" t="s">
        <v>158</v>
      </c>
      <c r="I52" s="17" t="s">
        <v>182</v>
      </c>
      <c r="J52" s="17" t="s">
        <v>160</v>
      </c>
      <c r="K52" s="17" t="s">
        <v>161</v>
      </c>
      <c r="L52" s="17" t="s">
        <v>162</v>
      </c>
    </row>
    <row r="53" spans="1:12" x14ac:dyDescent="0.25">
      <c r="A53" s="106" t="s">
        <v>77</v>
      </c>
      <c r="B53" s="39">
        <v>15.8</v>
      </c>
      <c r="C53" s="33">
        <f>COUNTIFS('Registro Incidencias'!B$5:B$200,"&gt;="&amp;D$47,'Registro Incidencias'!B$5:B$200,"&lt;="&amp;E$47,'Registro Incidencias'!S$5:S$200,"Raúl")</f>
        <v>0</v>
      </c>
      <c r="D53" s="33">
        <f>COUNTIFS('Registro Incidencias'!B$5:B$200,"&gt;="&amp;D$47,'Registro Incidencias'!B$5:B$200,"&lt;="&amp;E$47,'Registro Incidencias'!S$5:S$200,"Raúl",'Registro Incidencias'!AK$5:AK$200,"*Resuelta*")+COUNTIFS('Registro Incidencias'!B$5:B$200,"&gt;="&amp;D$47,'Registro Incidencias'!B$5:B$200,"&lt;="&amp;E$47,'Registro Incidencias'!S$5:S$200,"Raúl",'Registro Incidencias'!AK$5:AK$200,"*Cerrada*")</f>
        <v>0</v>
      </c>
      <c r="E53" s="107">
        <f>IFERROR(D53/C53,0)</f>
        <v>0</v>
      </c>
      <c r="F53" s="33">
        <f>COUNTIFS('Registro Incidencias'!B$5:B$200,"&gt;="&amp;D$47,'Registro Incidencias'!B$5:B$200,"&lt;="&amp;E$47,'Registro Incidencias'!S$5:S$200,"Raúl",'Registro Incidencias'!AD$5:AD$200,"&gt;1")</f>
        <v>0</v>
      </c>
      <c r="G53" s="33">
        <f>COUNTIFS('Registro Incidencias'!B$5:B$200,"&gt;="&amp;D$47,'Registro Incidencias'!B$5:B$200,"&lt;="&amp;E$47,'Registro Incidencias'!S$5:S$200,"Raúl",'Registro Incidencias'!AE$5:AE$200,"Fallo del técnico")</f>
        <v>0</v>
      </c>
      <c r="H53" s="39">
        <f>SUMIFS('Registro Incidencias'!AQ$5:AQ$200,'Registro Incidencias'!B$5:B$200,"&gt;="&amp;D$47,'Registro Incidencias'!B$5:B$200,"&lt;="&amp;E$47,'Registro Incidencias'!S$5:S$200,"Raúl")</f>
        <v>0</v>
      </c>
      <c r="I53" s="39">
        <f>SUMIFS('Registro Incidencias'!AR$5:AR$200,'Registro Incidencias'!B$5:B$200,"&gt;="&amp;D$47,'Registro Incidencias'!B$5:B$200,"&lt;="&amp;E$47,'Registro Incidencias'!S$5:S$200,"Raúl")</f>
        <v>0</v>
      </c>
      <c r="J53" s="33">
        <f>SUMIFS('Registro Incidencias'!X$5:X$200,'Registro Incidencias'!B$5:B$200,"&gt;="&amp;D$47,'Registro Incidencias'!B$5:B$200,"&lt;="&amp;E$47,'Registro Incidencias'!S$5:S$200,"Raúl")</f>
        <v>0</v>
      </c>
      <c r="K53" s="39">
        <f>SUMIFS('Registro Incidencias'!AG$5:AG$200,'Registro Incidencias'!B$5:B$200,"&gt;="&amp;D$47,'Registro Incidencias'!B$5:B$200,"&lt;="&amp;E$47,'Registro Incidencias'!S$5:S$200,"Raúl")</f>
        <v>0</v>
      </c>
      <c r="L53" s="39">
        <f>SUMIFS('Registro Incidencias'!AS$5:AS$200,'Registro Incidencias'!B$5:B$200,"&gt;="&amp;D$47,'Registro Incidencias'!B$5:B$200,"&lt;="&amp;E$47,'Registro Incidencias'!S$5:S$200,"Raúl")</f>
        <v>0</v>
      </c>
    </row>
    <row r="54" spans="1:12" x14ac:dyDescent="0.25">
      <c r="A54" s="108" t="s">
        <v>78</v>
      </c>
      <c r="B54" s="28">
        <v>17.5</v>
      </c>
      <c r="C54" s="22">
        <f>COUNTIFS('Registro Incidencias'!B$5:B$200,"&gt;="&amp;D$47,'Registro Incidencias'!B$5:B$200,"&lt;="&amp;E$47,'Registro Incidencias'!S$5:S$200,"Juan Luis")</f>
        <v>0</v>
      </c>
      <c r="D54" s="22">
        <f>COUNTIFS('Registro Incidencias'!B$5:B$200,"&gt;="&amp;D$47,'Registro Incidencias'!B$5:B$200,"&lt;="&amp;E$47,'Registro Incidencias'!S$5:S$200,"Juan Luis",'Registro Incidencias'!AK$5:AK$200,"*Resuelta*")+COUNTIFS('Registro Incidencias'!B$5:B$200,"&gt;="&amp;D$47,'Registro Incidencias'!B$5:B$200,"&lt;="&amp;E$47,'Registro Incidencias'!S$5:S$200,"Juan Luis",'Registro Incidencias'!AK$5:AK$200,"*Cerrada*")</f>
        <v>0</v>
      </c>
      <c r="E54" s="109">
        <f>IFERROR(D54/C54,0)</f>
        <v>0</v>
      </c>
      <c r="F54" s="22">
        <f>COUNTIFS('Registro Incidencias'!B$5:B$200,"&gt;="&amp;D$47,'Registro Incidencias'!B$5:B$200,"&lt;="&amp;E$47,'Registro Incidencias'!S$5:S$200,"Juan Luis",'Registro Incidencias'!AD$5:AD$200,"&gt;1")</f>
        <v>0</v>
      </c>
      <c r="G54" s="22">
        <f>COUNTIFS('Registro Incidencias'!B$5:B$200,"&gt;="&amp;D$47,'Registro Incidencias'!B$5:B$200,"&lt;="&amp;E$47,'Registro Incidencias'!S$5:S$200,"Juan Luis",'Registro Incidencias'!AE$5:AE$200,"Fallo del técnico")</f>
        <v>0</v>
      </c>
      <c r="H54" s="28">
        <f>SUMIFS('Registro Incidencias'!AQ$5:AQ$200,'Registro Incidencias'!B$5:B$200,"&gt;="&amp;D$47,'Registro Incidencias'!B$5:B$200,"&lt;="&amp;E$47,'Registro Incidencias'!S$5:S$200,"Juan Luis")</f>
        <v>0</v>
      </c>
      <c r="I54" s="28">
        <f>SUMIFS('Registro Incidencias'!AR$5:AR$200,'Registro Incidencias'!B$5:B$200,"&gt;="&amp;D$47,'Registro Incidencias'!B$5:B$200,"&lt;="&amp;E$47,'Registro Incidencias'!S$5:S$200,"Juan Luis")</f>
        <v>0</v>
      </c>
      <c r="J54" s="22">
        <f>SUMIFS('Registro Incidencias'!X$5:X$200,'Registro Incidencias'!B$5:B$200,"&gt;="&amp;D$47,'Registro Incidencias'!B$5:B$200,"&lt;="&amp;E$47,'Registro Incidencias'!S$5:S$200,"Juan Luis")</f>
        <v>0</v>
      </c>
      <c r="K54" s="28">
        <f>SUMIFS('Registro Incidencias'!AG$5:AG$200,'Registro Incidencias'!B$5:B$200,"&gt;="&amp;D$47,'Registro Incidencias'!B$5:B$200,"&lt;="&amp;E$47,'Registro Incidencias'!S$5:S$200,"Juan Luis")</f>
        <v>0</v>
      </c>
      <c r="L54" s="28">
        <f>SUMIFS('Registro Incidencias'!AS$5:AS$200,'Registro Incidencias'!B$5:B$200,"&gt;="&amp;D$47,'Registro Incidencias'!B$5:B$200,"&lt;="&amp;E$47,'Registro Incidencias'!S$5:S$200,"Juan Luis")</f>
        <v>0</v>
      </c>
    </row>
    <row r="55" spans="1:12" x14ac:dyDescent="0.25">
      <c r="A55" s="106" t="s">
        <v>79</v>
      </c>
      <c r="B55" s="39">
        <v>13.5</v>
      </c>
      <c r="C55" s="33">
        <f>COUNTIFS('Registro Incidencias'!B$5:B$200,"&gt;="&amp;D$47,'Registro Incidencias'!B$5:B$200,"&lt;="&amp;E$47,'Registro Incidencias'!S$5:S$200,"Paco")</f>
        <v>0</v>
      </c>
      <c r="D55" s="33">
        <f>COUNTIFS('Registro Incidencias'!B$5:B$200,"&gt;="&amp;D$47,'Registro Incidencias'!B$5:B$200,"&lt;="&amp;E$47,'Registro Incidencias'!S$5:S$200,"Paco",'Registro Incidencias'!AK$5:AK$200,"*Resuelta*")+COUNTIFS('Registro Incidencias'!B$5:B$200,"&gt;="&amp;D$47,'Registro Incidencias'!B$5:B$200,"&lt;="&amp;E$47,'Registro Incidencias'!S$5:S$200,"Paco",'Registro Incidencias'!AK$5:AK$200,"*Cerrada*")</f>
        <v>0</v>
      </c>
      <c r="E55" s="107">
        <f>IFERROR(D55/C55,0)</f>
        <v>0</v>
      </c>
      <c r="F55" s="33">
        <f>COUNTIFS('Registro Incidencias'!B$5:B$200,"&gt;="&amp;D$47,'Registro Incidencias'!B$5:B$200,"&lt;="&amp;E$47,'Registro Incidencias'!S$5:S$200,"Paco",'Registro Incidencias'!AD$5:AD$200,"&gt;1")</f>
        <v>0</v>
      </c>
      <c r="G55" s="33">
        <f>COUNTIFS('Registro Incidencias'!B$5:B$200,"&gt;="&amp;D$47,'Registro Incidencias'!B$5:B$200,"&lt;="&amp;E$47,'Registro Incidencias'!S$5:S$200,"Paco",'Registro Incidencias'!AE$5:AE$200,"Fallo del técnico")</f>
        <v>0</v>
      </c>
      <c r="H55" s="39">
        <f>SUMIFS('Registro Incidencias'!AQ$5:AQ$200,'Registro Incidencias'!B$5:B$200,"&gt;="&amp;D$47,'Registro Incidencias'!B$5:B$200,"&lt;="&amp;E$47,'Registro Incidencias'!S$5:S$200,"Paco")</f>
        <v>0</v>
      </c>
      <c r="I55" s="39">
        <f>SUMIFS('Registro Incidencias'!AR$5:AR$200,'Registro Incidencias'!B$5:B$200,"&gt;="&amp;D$47,'Registro Incidencias'!B$5:B$200,"&lt;="&amp;E$47,'Registro Incidencias'!S$5:S$200,"Paco")</f>
        <v>0</v>
      </c>
      <c r="J55" s="33">
        <f>SUMIFS('Registro Incidencias'!X$5:X$200,'Registro Incidencias'!B$5:B$200,"&gt;="&amp;D$47,'Registro Incidencias'!B$5:B$200,"&lt;="&amp;E$47,'Registro Incidencias'!S$5:S$200,"Paco")</f>
        <v>0</v>
      </c>
      <c r="K55" s="39">
        <f>SUMIFS('Registro Incidencias'!AG$5:AG$200,'Registro Incidencias'!B$5:B$200,"&gt;="&amp;D$47,'Registro Incidencias'!B$5:B$200,"&lt;="&amp;E$47,'Registro Incidencias'!S$5:S$200,"Paco")</f>
        <v>0</v>
      </c>
      <c r="L55" s="39">
        <f>SUMIFS('Registro Incidencias'!AS$5:AS$200,'Registro Incidencias'!B$5:B$200,"&gt;="&amp;D$47,'Registro Incidencias'!B$5:B$200,"&lt;="&amp;E$47,'Registro Incidencias'!S$5:S$200,"Paco")</f>
        <v>0</v>
      </c>
    </row>
    <row r="56" spans="1:12" x14ac:dyDescent="0.25">
      <c r="A56" s="108" t="s">
        <v>80</v>
      </c>
      <c r="B56" s="28">
        <v>18.899999999999999</v>
      </c>
      <c r="C56" s="22">
        <f>COUNTIFS('Registro Incidencias'!B$5:B$200,"&gt;="&amp;D$47,'Registro Incidencias'!B$5:B$200,"&lt;="&amp;E$47,'Registro Incidencias'!S$5:S$200,"Juan Manuel")</f>
        <v>0</v>
      </c>
      <c r="D56" s="22">
        <f>COUNTIFS('Registro Incidencias'!B$5:B$200,"&gt;="&amp;D$47,'Registro Incidencias'!B$5:B$200,"&lt;="&amp;E$47,'Registro Incidencias'!S$5:S$200,"Juan Manuel",'Registro Incidencias'!AK$5:AK$200,"*Resuelta*")+COUNTIFS('Registro Incidencias'!B$5:B$200,"&gt;="&amp;D$47,'Registro Incidencias'!B$5:B$200,"&lt;="&amp;E$47,'Registro Incidencias'!S$5:S$200,"Juan Manuel",'Registro Incidencias'!AK$5:AK$200,"*Cerrada*")</f>
        <v>0</v>
      </c>
      <c r="E56" s="109">
        <f>IFERROR(D56/C56,0)</f>
        <v>0</v>
      </c>
      <c r="F56" s="22">
        <f>COUNTIFS('Registro Incidencias'!B$5:B$200,"&gt;="&amp;D$47,'Registro Incidencias'!B$5:B$200,"&lt;="&amp;E$47,'Registro Incidencias'!S$5:S$200,"Juan Manuel",'Registro Incidencias'!AD$5:AD$200,"&gt;1")</f>
        <v>0</v>
      </c>
      <c r="G56" s="22">
        <f>COUNTIFS('Registro Incidencias'!B$5:B$200,"&gt;="&amp;D$47,'Registro Incidencias'!B$5:B$200,"&lt;="&amp;E$47,'Registro Incidencias'!S$5:S$200,"Juan Manuel",'Registro Incidencias'!AE$5:AE$200,"Fallo del técnico")</f>
        <v>0</v>
      </c>
      <c r="H56" s="28">
        <f>SUMIFS('Registro Incidencias'!AQ$5:AQ$200,'Registro Incidencias'!B$5:B$200,"&gt;="&amp;D$47,'Registro Incidencias'!B$5:B$200,"&lt;="&amp;E$47,'Registro Incidencias'!S$5:S$200,"Juan Manuel")</f>
        <v>0</v>
      </c>
      <c r="I56" s="28">
        <f>SUMIFS('Registro Incidencias'!AR$5:AR$200,'Registro Incidencias'!B$5:B$200,"&gt;="&amp;D$47,'Registro Incidencias'!B$5:B$200,"&lt;="&amp;E$47,'Registro Incidencias'!S$5:S$200,"Juan Manuel")</f>
        <v>0</v>
      </c>
      <c r="J56" s="22">
        <f>SUMIFS('Registro Incidencias'!X$5:X$200,'Registro Incidencias'!B$5:B$200,"&gt;="&amp;D$47,'Registro Incidencias'!B$5:B$200,"&lt;="&amp;E$47,'Registro Incidencias'!S$5:S$200,"Juan Manuel")</f>
        <v>0</v>
      </c>
      <c r="K56" s="28">
        <f>SUMIFS('Registro Incidencias'!AG$5:AG$200,'Registro Incidencias'!B$5:B$200,"&gt;="&amp;D$47,'Registro Incidencias'!B$5:B$200,"&lt;="&amp;E$47,'Registro Incidencias'!S$5:S$200,"Juan Manuel")</f>
        <v>0</v>
      </c>
      <c r="L56" s="28">
        <f>SUMIFS('Registro Incidencias'!AS$5:AS$200,'Registro Incidencias'!B$5:B$200,"&gt;="&amp;D$47,'Registro Incidencias'!B$5:B$200,"&lt;="&amp;E$47,'Registro Incidencias'!S$5:S$200,"Juan Manuel")</f>
        <v>0</v>
      </c>
    </row>
    <row r="57" spans="1:12" x14ac:dyDescent="0.25">
      <c r="A57" s="106" t="s">
        <v>81</v>
      </c>
      <c r="B57" s="39">
        <v>13.5</v>
      </c>
      <c r="C57" s="33">
        <f>COUNTIFS('Registro Incidencias'!B$5:B$200,"&gt;="&amp;D$47,'Registro Incidencias'!B$5:B$200,"&lt;="&amp;E$47,'Registro Incidencias'!S$5:S$200,"Adrián")</f>
        <v>0</v>
      </c>
      <c r="D57" s="33">
        <f>COUNTIFS('Registro Incidencias'!B$5:B$200,"&gt;="&amp;D$47,'Registro Incidencias'!B$5:B$200,"&lt;="&amp;E$47,'Registro Incidencias'!S$5:S$200,"Adrián",'Registro Incidencias'!AK$5:AK$200,"*Resuelta*")+COUNTIFS('Registro Incidencias'!B$5:B$200,"&gt;="&amp;D$47,'Registro Incidencias'!B$5:B$200,"&lt;="&amp;E$47,'Registro Incidencias'!S$5:S$200,"Adrián",'Registro Incidencias'!AK$5:AK$200,"*Cerrada*")</f>
        <v>0</v>
      </c>
      <c r="E57" s="107">
        <f>IFERROR(D57/C57,0)</f>
        <v>0</v>
      </c>
      <c r="F57" s="33">
        <f>COUNTIFS('Registro Incidencias'!B$5:B$200,"&gt;="&amp;D$47,'Registro Incidencias'!B$5:B$200,"&lt;="&amp;E$47,'Registro Incidencias'!S$5:S$200,"Adrián",'Registro Incidencias'!AD$5:AD$200,"&gt;1")</f>
        <v>0</v>
      </c>
      <c r="G57" s="33">
        <f>COUNTIFS('Registro Incidencias'!B$5:B$200,"&gt;="&amp;D$47,'Registro Incidencias'!B$5:B$200,"&lt;="&amp;E$47,'Registro Incidencias'!S$5:S$200,"Adrián",'Registro Incidencias'!AE$5:AE$200,"Fallo del técnico")</f>
        <v>0</v>
      </c>
      <c r="H57" s="39">
        <f>SUMIFS('Registro Incidencias'!AQ$5:AQ$200,'Registro Incidencias'!B$5:B$200,"&gt;="&amp;D$47,'Registro Incidencias'!B$5:B$200,"&lt;="&amp;E$47,'Registro Incidencias'!S$5:S$200,"Adrián")</f>
        <v>0</v>
      </c>
      <c r="I57" s="39">
        <f>SUMIFS('Registro Incidencias'!AR$5:AR$200,'Registro Incidencias'!B$5:B$200,"&gt;="&amp;D$47,'Registro Incidencias'!B$5:B$200,"&lt;="&amp;E$47,'Registro Incidencias'!S$5:S$200,"Adrián")</f>
        <v>0</v>
      </c>
      <c r="J57" s="33">
        <f>SUMIFS('Registro Incidencias'!X$5:X$200,'Registro Incidencias'!B$5:B$200,"&gt;="&amp;D$47,'Registro Incidencias'!B$5:B$200,"&lt;="&amp;E$47,'Registro Incidencias'!S$5:S$200,"Adrián")</f>
        <v>0</v>
      </c>
      <c r="K57" s="39">
        <f>SUMIFS('Registro Incidencias'!AG$5:AG$200,'Registro Incidencias'!B$5:B$200,"&gt;="&amp;D$47,'Registro Incidencias'!B$5:B$200,"&lt;="&amp;E$47,'Registro Incidencias'!S$5:S$200,"Adrián")</f>
        <v>0</v>
      </c>
      <c r="L57" s="39">
        <f>SUMIFS('Registro Incidencias'!AS$5:AS$200,'Registro Incidencias'!B$5:B$200,"&gt;="&amp;D$47,'Registro Incidencias'!B$5:B$200,"&lt;="&amp;E$47,'Registro Incidencias'!S$5:S$200,"Adrián")</f>
        <v>0</v>
      </c>
    </row>
  </sheetData>
  <mergeCells count="44">
    <mergeCell ref="A51:L51"/>
    <mergeCell ref="K48:L48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9:L9"/>
    <mergeCell ref="A11:F11"/>
    <mergeCell ref="A25:L25"/>
    <mergeCell ref="A33:F33"/>
    <mergeCell ref="A46:L46"/>
    <mergeCell ref="A9:B9"/>
    <mergeCell ref="C9:D9"/>
    <mergeCell ref="E9:F9"/>
    <mergeCell ref="G9:H9"/>
    <mergeCell ref="I9:J9"/>
    <mergeCell ref="K5:L5"/>
    <mergeCell ref="A7:L7"/>
    <mergeCell ref="A8:B8"/>
    <mergeCell ref="C8:D8"/>
    <mergeCell ref="E8:F8"/>
    <mergeCell ref="G8:H8"/>
    <mergeCell ref="I8:J8"/>
    <mergeCell ref="K8:L8"/>
    <mergeCell ref="A5:B5"/>
    <mergeCell ref="C5:D5"/>
    <mergeCell ref="E5:F5"/>
    <mergeCell ref="G5:H5"/>
    <mergeCell ref="I5:J5"/>
    <mergeCell ref="A1:L1"/>
    <mergeCell ref="A2:L2"/>
    <mergeCell ref="A4:B4"/>
    <mergeCell ref="C4:D4"/>
    <mergeCell ref="E4:F4"/>
    <mergeCell ref="G4:H4"/>
    <mergeCell ref="I4:J4"/>
    <mergeCell ref="K4:L4"/>
  </mergeCells>
  <dataValidations count="1">
    <dataValidation type="list" sqref="B47" xr:uid="{00000000-0002-0000-0700-000000000000}">
      <formula1>"Enero,Febrero,Marzo,Abril,Mayo,Junio,Julio,Agosto,Septiembre,Octubre,Noviembre,Diciembre"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7950B"/>
  </sheetPr>
  <dimension ref="A1:J34"/>
  <sheetViews>
    <sheetView zoomScaleNormal="100" workbookViewId="0">
      <pane ySplit="4" topLeftCell="A5" activePane="bottomLeft" state="frozen"/>
      <selection pane="bottomLeft" sqref="A1:J1"/>
    </sheetView>
  </sheetViews>
  <sheetFormatPr baseColWidth="10" defaultColWidth="8.7109375" defaultRowHeight="15" x14ac:dyDescent="0.25"/>
  <cols>
    <col min="1" max="1" width="11" customWidth="1"/>
    <col min="2" max="2" width="24" customWidth="1"/>
    <col min="3" max="3" width="13" customWidth="1"/>
    <col min="4" max="4" width="8" customWidth="1"/>
    <col min="5" max="5" width="7" customWidth="1"/>
    <col min="6" max="6" width="16" customWidth="1"/>
    <col min="7" max="8" width="12" customWidth="1"/>
    <col min="9" max="9" width="10" customWidth="1"/>
    <col min="10" max="10" width="13" customWidth="1"/>
  </cols>
  <sheetData>
    <row r="1" spans="1:10" ht="36" customHeight="1" x14ac:dyDescent="0.25">
      <c r="A1" s="14" t="s">
        <v>183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" customHeight="1" x14ac:dyDescent="0.25">
      <c r="A2" s="155" t="s">
        <v>184</v>
      </c>
      <c r="B2" s="155"/>
      <c r="C2" s="155"/>
      <c r="D2" s="155"/>
      <c r="E2" s="155"/>
      <c r="F2" s="155"/>
      <c r="G2" s="155"/>
      <c r="H2" s="155"/>
      <c r="I2" s="155"/>
      <c r="J2" s="155"/>
    </row>
    <row r="4" spans="1:10" ht="15" customHeight="1" x14ac:dyDescent="0.25">
      <c r="A4" s="16" t="s">
        <v>185</v>
      </c>
      <c r="B4" s="16" t="s">
        <v>92</v>
      </c>
      <c r="C4" s="16" t="s">
        <v>186</v>
      </c>
      <c r="D4" s="16" t="s">
        <v>187</v>
      </c>
      <c r="E4" s="16" t="s">
        <v>188</v>
      </c>
      <c r="F4" s="16" t="s">
        <v>189</v>
      </c>
      <c r="G4" s="16" t="s">
        <v>190</v>
      </c>
      <c r="H4" s="16" t="s">
        <v>191</v>
      </c>
      <c r="I4" s="16" t="s">
        <v>192</v>
      </c>
      <c r="J4" s="16" t="s">
        <v>43</v>
      </c>
    </row>
    <row r="5" spans="1:10" ht="15" customHeight="1" x14ac:dyDescent="0.25">
      <c r="A5" s="87" t="s">
        <v>193</v>
      </c>
      <c r="B5" s="87" t="s">
        <v>194</v>
      </c>
      <c r="C5" s="87" t="s">
        <v>195</v>
      </c>
      <c r="D5" s="33">
        <v>5</v>
      </c>
      <c r="E5" s="33">
        <v>2</v>
      </c>
      <c r="F5" s="87" t="s">
        <v>196</v>
      </c>
      <c r="G5" s="39">
        <v>89.9</v>
      </c>
      <c r="H5" s="39">
        <f t="shared" ref="H5:H19" si="0">G5</f>
        <v>89.9</v>
      </c>
      <c r="I5" s="33">
        <f>IF(B5="","",IFERROR(SUMPRODUCT((LEN('Registro Incidencias'!AF5:AF200)-LEN(SUBSTITUTE('Registro Incidencias'!AF5:AF200,B5,"")))/LEN(B5)),0))</f>
        <v>0</v>
      </c>
      <c r="J5" s="91" t="str">
        <f t="shared" ref="J5:J34" si="1">IF(B5="","",IF(D5&lt;=E5,"⚠️ REPONER","✅ OK"))</f>
        <v>✅ OK</v>
      </c>
    </row>
    <row r="6" spans="1:10" ht="15" customHeight="1" x14ac:dyDescent="0.25">
      <c r="A6" s="93" t="s">
        <v>197</v>
      </c>
      <c r="B6" s="93" t="s">
        <v>198</v>
      </c>
      <c r="C6" s="93" t="s">
        <v>195</v>
      </c>
      <c r="D6" s="22">
        <v>3</v>
      </c>
      <c r="E6" s="22">
        <v>2</v>
      </c>
      <c r="F6" s="93" t="s">
        <v>196</v>
      </c>
      <c r="G6" s="28">
        <v>65</v>
      </c>
      <c r="H6" s="28">
        <f t="shared" si="0"/>
        <v>65</v>
      </c>
      <c r="I6" s="22">
        <f>IF(B6="","",IFERROR(SUMPRODUCT((LEN('Registro Incidencias'!AF5:AF200)-LEN(SUBSTITUTE('Registro Incidencias'!AF5:AF200,B6,"")))/LEN(B6)),0))</f>
        <v>0</v>
      </c>
      <c r="J6" s="97" t="str">
        <f t="shared" si="1"/>
        <v>✅ OK</v>
      </c>
    </row>
    <row r="7" spans="1:10" ht="15" customHeight="1" x14ac:dyDescent="0.25">
      <c r="A7" s="87" t="s">
        <v>199</v>
      </c>
      <c r="B7" s="87" t="s">
        <v>200</v>
      </c>
      <c r="C7" s="87" t="s">
        <v>195</v>
      </c>
      <c r="D7" s="33">
        <v>2</v>
      </c>
      <c r="E7" s="33">
        <v>1</v>
      </c>
      <c r="F7" s="87" t="s">
        <v>196</v>
      </c>
      <c r="G7" s="39">
        <v>245</v>
      </c>
      <c r="H7" s="39">
        <f t="shared" si="0"/>
        <v>245</v>
      </c>
      <c r="I7" s="33">
        <f>IF(B7="","",IFERROR(SUMPRODUCT((LEN('Registro Incidencias'!AF5:AF200)-LEN(SUBSTITUTE('Registro Incidencias'!AF5:AF200,B7,"")))/LEN(B7)),0))</f>
        <v>0</v>
      </c>
      <c r="J7" s="91" t="str">
        <f t="shared" si="1"/>
        <v>✅ OK</v>
      </c>
    </row>
    <row r="8" spans="1:10" ht="15" customHeight="1" x14ac:dyDescent="0.25">
      <c r="A8" s="93" t="s">
        <v>201</v>
      </c>
      <c r="B8" s="93" t="s">
        <v>202</v>
      </c>
      <c r="C8" s="93" t="s">
        <v>195</v>
      </c>
      <c r="D8" s="22">
        <v>4</v>
      </c>
      <c r="E8" s="22">
        <v>2</v>
      </c>
      <c r="F8" s="93" t="s">
        <v>196</v>
      </c>
      <c r="G8" s="28">
        <v>95</v>
      </c>
      <c r="H8" s="28">
        <f t="shared" si="0"/>
        <v>95</v>
      </c>
      <c r="I8" s="22">
        <f>IF(B8="","",IFERROR(SUMPRODUCT((LEN('Registro Incidencias'!AF5:AF200)-LEN(SUBSTITUTE('Registro Incidencias'!AF5:AF200,B8,"")))/LEN(B8)),0))</f>
        <v>0</v>
      </c>
      <c r="J8" s="97" t="str">
        <f t="shared" si="1"/>
        <v>✅ OK</v>
      </c>
    </row>
    <row r="9" spans="1:10" ht="15" customHeight="1" x14ac:dyDescent="0.25">
      <c r="A9" s="87" t="s">
        <v>203</v>
      </c>
      <c r="B9" s="87" t="s">
        <v>204</v>
      </c>
      <c r="C9" s="87" t="s">
        <v>205</v>
      </c>
      <c r="D9" s="33">
        <v>8</v>
      </c>
      <c r="E9" s="33">
        <v>4</v>
      </c>
      <c r="F9" s="87" t="s">
        <v>206</v>
      </c>
      <c r="G9" s="39">
        <v>12.5</v>
      </c>
      <c r="H9" s="39">
        <f t="shared" si="0"/>
        <v>12.5</v>
      </c>
      <c r="I9" s="33">
        <f>IF(B9="","",IFERROR(SUMPRODUCT((LEN('Registro Incidencias'!AF5:AF200)-LEN(SUBSTITUTE('Registro Incidencias'!AF5:AF200,B9,"")))/LEN(B9)),0))</f>
        <v>0</v>
      </c>
      <c r="J9" s="91" t="str">
        <f t="shared" si="1"/>
        <v>✅ OK</v>
      </c>
    </row>
    <row r="10" spans="1:10" ht="15" customHeight="1" x14ac:dyDescent="0.25">
      <c r="A10" s="93" t="s">
        <v>207</v>
      </c>
      <c r="B10" s="93" t="s">
        <v>208</v>
      </c>
      <c r="C10" s="93" t="s">
        <v>205</v>
      </c>
      <c r="D10" s="22">
        <v>2</v>
      </c>
      <c r="E10" s="22">
        <v>1</v>
      </c>
      <c r="F10" s="93" t="s">
        <v>206</v>
      </c>
      <c r="G10" s="28">
        <v>75</v>
      </c>
      <c r="H10" s="28">
        <f t="shared" si="0"/>
        <v>75</v>
      </c>
      <c r="I10" s="22">
        <f>IF(B10="","",IFERROR(SUMPRODUCT((LEN('Registro Incidencias'!AF5:AF200)-LEN(SUBSTITUTE('Registro Incidencias'!AF5:AF200,B10,"")))/LEN(B10)),0))</f>
        <v>0</v>
      </c>
      <c r="J10" s="97" t="str">
        <f t="shared" si="1"/>
        <v>✅ OK</v>
      </c>
    </row>
    <row r="11" spans="1:10" ht="15" customHeight="1" x14ac:dyDescent="0.25">
      <c r="A11" s="87" t="s">
        <v>209</v>
      </c>
      <c r="B11" s="87" t="s">
        <v>210</v>
      </c>
      <c r="C11" s="87" t="s">
        <v>211</v>
      </c>
      <c r="D11" s="33">
        <v>6</v>
      </c>
      <c r="E11" s="33">
        <v>3</v>
      </c>
      <c r="F11" s="87" t="s">
        <v>212</v>
      </c>
      <c r="G11" s="39">
        <v>35</v>
      </c>
      <c r="H11" s="39">
        <f t="shared" si="0"/>
        <v>35</v>
      </c>
      <c r="I11" s="33">
        <f>IF(B11="","",IFERROR(SUMPRODUCT((LEN('Registro Incidencias'!AF5:AF200)-LEN(SUBSTITUTE('Registro Incidencias'!AF5:AF200,B11,"")))/LEN(B11)),0))</f>
        <v>0</v>
      </c>
      <c r="J11" s="91" t="str">
        <f t="shared" si="1"/>
        <v>✅ OK</v>
      </c>
    </row>
    <row r="12" spans="1:10" ht="15" customHeight="1" x14ac:dyDescent="0.25">
      <c r="A12" s="93" t="s">
        <v>213</v>
      </c>
      <c r="B12" s="93" t="s">
        <v>214</v>
      </c>
      <c r="C12" s="93" t="s">
        <v>211</v>
      </c>
      <c r="D12" s="22">
        <v>10</v>
      </c>
      <c r="E12" s="22">
        <v>5</v>
      </c>
      <c r="F12" s="93" t="s">
        <v>212</v>
      </c>
      <c r="G12" s="28">
        <v>18</v>
      </c>
      <c r="H12" s="28">
        <f t="shared" si="0"/>
        <v>18</v>
      </c>
      <c r="I12" s="22">
        <f>IF(B12="","",IFERROR(SUMPRODUCT((LEN('Registro Incidencias'!AF5:AF200)-LEN(SUBSTITUTE('Registro Incidencias'!AF5:AF200,B12,"")))/LEN(B12)),0))</f>
        <v>0</v>
      </c>
      <c r="J12" s="97" t="str">
        <f t="shared" si="1"/>
        <v>✅ OK</v>
      </c>
    </row>
    <row r="13" spans="1:10" ht="15" customHeight="1" x14ac:dyDescent="0.25">
      <c r="A13" s="87" t="s">
        <v>215</v>
      </c>
      <c r="B13" s="87" t="s">
        <v>216</v>
      </c>
      <c r="C13" s="87" t="s">
        <v>217</v>
      </c>
      <c r="D13" s="33">
        <v>3</v>
      </c>
      <c r="E13" s="33">
        <v>1</v>
      </c>
      <c r="F13" s="87" t="s">
        <v>218</v>
      </c>
      <c r="G13" s="39">
        <v>55</v>
      </c>
      <c r="H13" s="39">
        <f t="shared" si="0"/>
        <v>55</v>
      </c>
      <c r="I13" s="33">
        <f>IF(B13="","",IFERROR(SUMPRODUCT((LEN('Registro Incidencias'!AF5:AF200)-LEN(SUBSTITUTE('Registro Incidencias'!AF5:AF200,B13,"")))/LEN(B13)),0))</f>
        <v>0</v>
      </c>
      <c r="J13" s="91" t="str">
        <f t="shared" si="1"/>
        <v>✅ OK</v>
      </c>
    </row>
    <row r="14" spans="1:10" ht="15" customHeight="1" x14ac:dyDescent="0.25">
      <c r="A14" s="93" t="s">
        <v>219</v>
      </c>
      <c r="B14" s="93" t="s">
        <v>220</v>
      </c>
      <c r="C14" s="93" t="s">
        <v>221</v>
      </c>
      <c r="D14" s="22">
        <v>5</v>
      </c>
      <c r="E14" s="22">
        <v>2</v>
      </c>
      <c r="F14" s="93" t="s">
        <v>222</v>
      </c>
      <c r="G14" s="28">
        <v>42</v>
      </c>
      <c r="H14" s="28">
        <f t="shared" si="0"/>
        <v>42</v>
      </c>
      <c r="I14" s="22">
        <f>IF(B14="","",IFERROR(SUMPRODUCT((LEN('Registro Incidencias'!AF5:AF200)-LEN(SUBSTITUTE('Registro Incidencias'!AF5:AF200,B14,"")))/LEN(B14)),0))</f>
        <v>0</v>
      </c>
      <c r="J14" s="97" t="str">
        <f t="shared" si="1"/>
        <v>✅ OK</v>
      </c>
    </row>
    <row r="15" spans="1:10" ht="15" customHeight="1" x14ac:dyDescent="0.25">
      <c r="A15" s="87" t="s">
        <v>223</v>
      </c>
      <c r="B15" s="87" t="s">
        <v>224</v>
      </c>
      <c r="C15" s="87" t="s">
        <v>221</v>
      </c>
      <c r="D15" s="33">
        <v>3</v>
      </c>
      <c r="E15" s="33">
        <v>1</v>
      </c>
      <c r="F15" s="87" t="s">
        <v>222</v>
      </c>
      <c r="G15" s="39">
        <v>38</v>
      </c>
      <c r="H15" s="39">
        <f t="shared" si="0"/>
        <v>38</v>
      </c>
      <c r="I15" s="33">
        <f>IF(B15="","",IFERROR(SUMPRODUCT((LEN('Registro Incidencias'!AF5:AF200)-LEN(SUBSTITUTE('Registro Incidencias'!AF5:AF200,B15,"")))/LEN(B15)),0))</f>
        <v>0</v>
      </c>
      <c r="J15" s="91" t="str">
        <f t="shared" si="1"/>
        <v>✅ OK</v>
      </c>
    </row>
    <row r="16" spans="1:10" ht="15" customHeight="1" x14ac:dyDescent="0.25">
      <c r="A16" s="93" t="s">
        <v>225</v>
      </c>
      <c r="B16" s="93" t="s">
        <v>226</v>
      </c>
      <c r="C16" s="93" t="s">
        <v>227</v>
      </c>
      <c r="D16" s="22">
        <v>2</v>
      </c>
      <c r="E16" s="22">
        <v>1</v>
      </c>
      <c r="F16" s="93" t="s">
        <v>196</v>
      </c>
      <c r="G16" s="28">
        <v>85</v>
      </c>
      <c r="H16" s="28">
        <f t="shared" si="0"/>
        <v>85</v>
      </c>
      <c r="I16" s="22">
        <f>IF(B16="","",IFERROR(SUMPRODUCT((LEN('Registro Incidencias'!AF5:AF200)-LEN(SUBSTITUTE('Registro Incidencias'!AF5:AF200,B16,"")))/LEN(B16)),0))</f>
        <v>0</v>
      </c>
      <c r="J16" s="97" t="str">
        <f t="shared" si="1"/>
        <v>✅ OK</v>
      </c>
    </row>
    <row r="17" spans="1:10" ht="15" customHeight="1" x14ac:dyDescent="0.25">
      <c r="A17" s="87" t="s">
        <v>228</v>
      </c>
      <c r="B17" s="87" t="s">
        <v>229</v>
      </c>
      <c r="C17" s="87" t="s">
        <v>211</v>
      </c>
      <c r="D17" s="33">
        <v>3</v>
      </c>
      <c r="E17" s="33">
        <v>1</v>
      </c>
      <c r="F17" s="87" t="s">
        <v>212</v>
      </c>
      <c r="G17" s="39">
        <v>45</v>
      </c>
      <c r="H17" s="39">
        <f t="shared" si="0"/>
        <v>45</v>
      </c>
      <c r="I17" s="33">
        <f>IF(B17="","",IFERROR(SUMPRODUCT((LEN('Registro Incidencias'!AF5:AF200)-LEN(SUBSTITUTE('Registro Incidencias'!AF5:AF200,B17,"")))/LEN(B17)),0))</f>
        <v>0</v>
      </c>
      <c r="J17" s="91" t="str">
        <f t="shared" si="1"/>
        <v>✅ OK</v>
      </c>
    </row>
    <row r="18" spans="1:10" ht="15" customHeight="1" x14ac:dyDescent="0.25">
      <c r="A18" s="93" t="s">
        <v>230</v>
      </c>
      <c r="B18" s="93" t="s">
        <v>231</v>
      </c>
      <c r="C18" s="93" t="s">
        <v>205</v>
      </c>
      <c r="D18" s="22">
        <v>8</v>
      </c>
      <c r="E18" s="22">
        <v>4</v>
      </c>
      <c r="F18" s="93" t="s">
        <v>206</v>
      </c>
      <c r="G18" s="28">
        <v>14</v>
      </c>
      <c r="H18" s="28">
        <f t="shared" si="0"/>
        <v>14</v>
      </c>
      <c r="I18" s="22">
        <f>IF(B18="","",IFERROR(SUMPRODUCT((LEN('Registro Incidencias'!AF5:AF200)-LEN(SUBSTITUTE('Registro Incidencias'!AF5:AF200,B18,"")))/LEN(B18)),0))</f>
        <v>0</v>
      </c>
      <c r="J18" s="97" t="str">
        <f t="shared" si="1"/>
        <v>✅ OK</v>
      </c>
    </row>
    <row r="19" spans="1:10" ht="15" customHeight="1" x14ac:dyDescent="0.25">
      <c r="A19" s="87" t="s">
        <v>232</v>
      </c>
      <c r="B19" s="87" t="s">
        <v>233</v>
      </c>
      <c r="C19" s="87" t="s">
        <v>211</v>
      </c>
      <c r="D19" s="33">
        <v>1</v>
      </c>
      <c r="E19" s="33">
        <v>1</v>
      </c>
      <c r="F19" s="87" t="s">
        <v>212</v>
      </c>
      <c r="G19" s="39">
        <v>285</v>
      </c>
      <c r="H19" s="39">
        <f t="shared" si="0"/>
        <v>285</v>
      </c>
      <c r="I19" s="33">
        <f>IF(B19="","",IFERROR(SUMPRODUCT((LEN('Registro Incidencias'!AF5:AF200)-LEN(SUBSTITUTE('Registro Incidencias'!AF5:AF200,B19,"")))/LEN(B19)),0))</f>
        <v>0</v>
      </c>
      <c r="J19" s="91" t="str">
        <f t="shared" si="1"/>
        <v>⚠️ REPONER</v>
      </c>
    </row>
    <row r="20" spans="1:10" ht="15" customHeight="1" x14ac:dyDescent="0.25">
      <c r="A20" s="93"/>
      <c r="B20" s="93"/>
      <c r="C20" s="93"/>
      <c r="D20" s="93"/>
      <c r="E20" s="93"/>
      <c r="F20" s="93"/>
      <c r="G20" s="28"/>
      <c r="H20" s="28"/>
      <c r="I20" s="22" t="str">
        <f>IF(B20="","",IFERROR(SUMPRODUCT((LEN('Registro Incidencias'!AF5:AF200)-LEN(SUBSTITUTE('Registro Incidencias'!AF5:AF200,B20,"")))/LEN(B20)),0))</f>
        <v/>
      </c>
      <c r="J20" s="97" t="str">
        <f t="shared" si="1"/>
        <v/>
      </c>
    </row>
    <row r="21" spans="1:10" ht="15" customHeight="1" x14ac:dyDescent="0.25">
      <c r="A21" s="87"/>
      <c r="B21" s="87"/>
      <c r="C21" s="87"/>
      <c r="D21" s="87"/>
      <c r="E21" s="87"/>
      <c r="F21" s="87"/>
      <c r="G21" s="39"/>
      <c r="H21" s="39"/>
      <c r="I21" s="33" t="str">
        <f>IF(B21="","",IFERROR(SUMPRODUCT((LEN('Registro Incidencias'!AF5:AF200)-LEN(SUBSTITUTE('Registro Incidencias'!AF5:AF200,B21,"")))/LEN(B21)),0))</f>
        <v/>
      </c>
      <c r="J21" s="91" t="str">
        <f t="shared" si="1"/>
        <v/>
      </c>
    </row>
    <row r="22" spans="1:10" ht="15" customHeight="1" x14ac:dyDescent="0.25">
      <c r="A22" s="93"/>
      <c r="B22" s="93"/>
      <c r="C22" s="93"/>
      <c r="D22" s="93"/>
      <c r="E22" s="93"/>
      <c r="F22" s="93"/>
      <c r="G22" s="28"/>
      <c r="H22" s="28"/>
      <c r="I22" s="22" t="str">
        <f>IF(B22="","",IFERROR(SUMPRODUCT((LEN('Registro Incidencias'!AF5:AF200)-LEN(SUBSTITUTE('Registro Incidencias'!AF5:AF200,B22,"")))/LEN(B22)),0))</f>
        <v/>
      </c>
      <c r="J22" s="97" t="str">
        <f t="shared" si="1"/>
        <v/>
      </c>
    </row>
    <row r="23" spans="1:10" ht="15" customHeight="1" x14ac:dyDescent="0.25">
      <c r="A23" s="87"/>
      <c r="B23" s="87"/>
      <c r="C23" s="87"/>
      <c r="D23" s="87"/>
      <c r="E23" s="87"/>
      <c r="F23" s="87"/>
      <c r="G23" s="39"/>
      <c r="H23" s="39"/>
      <c r="I23" s="33" t="str">
        <f>IF(B23="","",IFERROR(SUMPRODUCT((LEN('Registro Incidencias'!AF5:AF200)-LEN(SUBSTITUTE('Registro Incidencias'!AF5:AF200,B23,"")))/LEN(B23)),0))</f>
        <v/>
      </c>
      <c r="J23" s="91" t="str">
        <f t="shared" si="1"/>
        <v/>
      </c>
    </row>
    <row r="24" spans="1:10" ht="15" customHeight="1" x14ac:dyDescent="0.25">
      <c r="A24" s="93"/>
      <c r="B24" s="93"/>
      <c r="C24" s="93"/>
      <c r="D24" s="93"/>
      <c r="E24" s="93"/>
      <c r="F24" s="93"/>
      <c r="G24" s="28"/>
      <c r="H24" s="28"/>
      <c r="I24" s="22" t="str">
        <f>IF(B24="","",IFERROR(SUMPRODUCT((LEN('Registro Incidencias'!AF5:AF200)-LEN(SUBSTITUTE('Registro Incidencias'!AF5:AF200,B24,"")))/LEN(B24)),0))</f>
        <v/>
      </c>
      <c r="J24" s="97" t="str">
        <f t="shared" si="1"/>
        <v/>
      </c>
    </row>
    <row r="25" spans="1:10" ht="15" customHeight="1" x14ac:dyDescent="0.25">
      <c r="A25" s="87"/>
      <c r="B25" s="87"/>
      <c r="C25" s="87"/>
      <c r="D25" s="87"/>
      <c r="E25" s="87"/>
      <c r="F25" s="87"/>
      <c r="G25" s="39"/>
      <c r="H25" s="39"/>
      <c r="I25" s="33" t="str">
        <f>IF(B25="","",IFERROR(SUMPRODUCT((LEN('Registro Incidencias'!AF5:AF200)-LEN(SUBSTITUTE('Registro Incidencias'!AF5:AF200,B25,"")))/LEN(B25)),0))</f>
        <v/>
      </c>
      <c r="J25" s="91" t="str">
        <f t="shared" si="1"/>
        <v/>
      </c>
    </row>
    <row r="26" spans="1:10" ht="15" customHeight="1" x14ac:dyDescent="0.25">
      <c r="A26" s="93"/>
      <c r="B26" s="93"/>
      <c r="C26" s="93"/>
      <c r="D26" s="93"/>
      <c r="E26" s="93"/>
      <c r="F26" s="93"/>
      <c r="G26" s="28"/>
      <c r="H26" s="28"/>
      <c r="I26" s="22" t="str">
        <f>IF(B26="","",IFERROR(SUMPRODUCT((LEN('Registro Incidencias'!AF5:AF200)-LEN(SUBSTITUTE('Registro Incidencias'!AF5:AF200,B26,"")))/LEN(B26)),0))</f>
        <v/>
      </c>
      <c r="J26" s="97" t="str">
        <f t="shared" si="1"/>
        <v/>
      </c>
    </row>
    <row r="27" spans="1:10" ht="15" customHeight="1" x14ac:dyDescent="0.25">
      <c r="A27" s="87"/>
      <c r="B27" s="87"/>
      <c r="C27" s="87"/>
      <c r="D27" s="87"/>
      <c r="E27" s="87"/>
      <c r="F27" s="87"/>
      <c r="G27" s="39"/>
      <c r="H27" s="39"/>
      <c r="I27" s="33" t="str">
        <f>IF(B27="","",IFERROR(SUMPRODUCT((LEN('Registro Incidencias'!AF5:AF200)-LEN(SUBSTITUTE('Registro Incidencias'!AF5:AF200,B27,"")))/LEN(B27)),0))</f>
        <v/>
      </c>
      <c r="J27" s="91" t="str">
        <f t="shared" si="1"/>
        <v/>
      </c>
    </row>
    <row r="28" spans="1:10" ht="15" customHeight="1" x14ac:dyDescent="0.25">
      <c r="A28" s="93"/>
      <c r="B28" s="93"/>
      <c r="C28" s="93"/>
      <c r="D28" s="93"/>
      <c r="E28" s="93"/>
      <c r="F28" s="93"/>
      <c r="G28" s="28"/>
      <c r="H28" s="28"/>
      <c r="I28" s="22" t="str">
        <f>IF(B28="","",IFERROR(SUMPRODUCT((LEN('Registro Incidencias'!AF5:AF200)-LEN(SUBSTITUTE('Registro Incidencias'!AF5:AF200,B28,"")))/LEN(B28)),0))</f>
        <v/>
      </c>
      <c r="J28" s="97" t="str">
        <f t="shared" si="1"/>
        <v/>
      </c>
    </row>
    <row r="29" spans="1:10" ht="15" customHeight="1" x14ac:dyDescent="0.25">
      <c r="A29" s="87"/>
      <c r="B29" s="87"/>
      <c r="C29" s="87"/>
      <c r="D29" s="87"/>
      <c r="E29" s="87"/>
      <c r="F29" s="87"/>
      <c r="G29" s="39"/>
      <c r="H29" s="39"/>
      <c r="I29" s="33" t="str">
        <f>IF(B29="","",IFERROR(SUMPRODUCT((LEN('Registro Incidencias'!AF5:AF200)-LEN(SUBSTITUTE('Registro Incidencias'!AF5:AF200,B29,"")))/LEN(B29)),0))</f>
        <v/>
      </c>
      <c r="J29" s="91" t="str">
        <f t="shared" si="1"/>
        <v/>
      </c>
    </row>
    <row r="30" spans="1:10" ht="15" customHeight="1" x14ac:dyDescent="0.25">
      <c r="A30" s="93"/>
      <c r="B30" s="93"/>
      <c r="C30" s="93"/>
      <c r="D30" s="93"/>
      <c r="E30" s="93"/>
      <c r="F30" s="93"/>
      <c r="G30" s="28"/>
      <c r="H30" s="28"/>
      <c r="I30" s="22" t="str">
        <f>IF(B30="","",IFERROR(SUMPRODUCT((LEN('Registro Incidencias'!AF5:AF200)-LEN(SUBSTITUTE('Registro Incidencias'!AF5:AF200,B30,"")))/LEN(B30)),0))</f>
        <v/>
      </c>
      <c r="J30" s="97" t="str">
        <f t="shared" si="1"/>
        <v/>
      </c>
    </row>
    <row r="31" spans="1:10" ht="15" customHeight="1" x14ac:dyDescent="0.25">
      <c r="A31" s="87"/>
      <c r="B31" s="87"/>
      <c r="C31" s="87"/>
      <c r="D31" s="87"/>
      <c r="E31" s="87"/>
      <c r="F31" s="87"/>
      <c r="G31" s="39"/>
      <c r="H31" s="39"/>
      <c r="I31" s="33" t="str">
        <f>IF(B31="","",IFERROR(SUMPRODUCT((LEN('Registro Incidencias'!AF5:AF200)-LEN(SUBSTITUTE('Registro Incidencias'!AF5:AF200,B31,"")))/LEN(B31)),0))</f>
        <v/>
      </c>
      <c r="J31" s="91" t="str">
        <f t="shared" si="1"/>
        <v/>
      </c>
    </row>
    <row r="32" spans="1:10" ht="15" customHeight="1" x14ac:dyDescent="0.25">
      <c r="A32" s="93"/>
      <c r="B32" s="93"/>
      <c r="C32" s="93"/>
      <c r="D32" s="93"/>
      <c r="E32" s="93"/>
      <c r="F32" s="93"/>
      <c r="G32" s="28"/>
      <c r="H32" s="28"/>
      <c r="I32" s="22" t="str">
        <f>IF(B32="","",IFERROR(SUMPRODUCT((LEN('Registro Incidencias'!AF5:AF200)-LEN(SUBSTITUTE('Registro Incidencias'!AF5:AF200,B32,"")))/LEN(B32)),0))</f>
        <v/>
      </c>
      <c r="J32" s="97" t="str">
        <f t="shared" si="1"/>
        <v/>
      </c>
    </row>
    <row r="33" spans="1:10" ht="15" customHeight="1" x14ac:dyDescent="0.25">
      <c r="A33" s="87"/>
      <c r="B33" s="87"/>
      <c r="C33" s="87"/>
      <c r="D33" s="87"/>
      <c r="E33" s="87"/>
      <c r="F33" s="87"/>
      <c r="G33" s="39"/>
      <c r="H33" s="39"/>
      <c r="I33" s="33" t="str">
        <f>IF(B33="","",IFERROR(SUMPRODUCT((LEN('Registro Incidencias'!AF5:AF200)-LEN(SUBSTITUTE('Registro Incidencias'!AF5:AF200,B33,"")))/LEN(B33)),0))</f>
        <v/>
      </c>
      <c r="J33" s="91" t="str">
        <f t="shared" si="1"/>
        <v/>
      </c>
    </row>
    <row r="34" spans="1:10" ht="15" customHeight="1" x14ac:dyDescent="0.25">
      <c r="A34" s="93"/>
      <c r="B34" s="93"/>
      <c r="C34" s="93"/>
      <c r="D34" s="93"/>
      <c r="E34" s="93"/>
      <c r="F34" s="93"/>
      <c r="G34" s="28"/>
      <c r="H34" s="28"/>
      <c r="I34" s="22" t="str">
        <f>IF(B34="","",IFERROR(SUMPRODUCT((LEN('Registro Incidencias'!AF5:AF200)-LEN(SUBSTITUTE('Registro Incidencias'!AF5:AF200,B34,"")))/LEN(B34)),0))</f>
        <v/>
      </c>
      <c r="J34" s="97" t="str">
        <f t="shared" si="1"/>
        <v/>
      </c>
    </row>
  </sheetData>
  <autoFilter ref="A4:J34" xr:uid="{00000000-0009-0000-0000-000008000000}"/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7AE60"/>
  </sheetPr>
  <dimension ref="A1:G15"/>
  <sheetViews>
    <sheetView zoomScaleNormal="100" workbookViewId="0">
      <selection sqref="A1:G1"/>
    </sheetView>
  </sheetViews>
  <sheetFormatPr baseColWidth="10" defaultColWidth="8.7109375" defaultRowHeight="15" x14ac:dyDescent="0.25"/>
  <cols>
    <col min="1" max="1" width="22" customWidth="1"/>
    <col min="2" max="2" width="16" customWidth="1"/>
    <col min="3" max="3" width="10" customWidth="1"/>
    <col min="4" max="4" width="4" customWidth="1"/>
    <col min="5" max="5" width="18" customWidth="1"/>
    <col min="6" max="6" width="10" customWidth="1"/>
    <col min="7" max="7" width="20" customWidth="1"/>
  </cols>
  <sheetData>
    <row r="1" spans="1:7" ht="36" customHeight="1" x14ac:dyDescent="0.25">
      <c r="A1" s="14" t="s">
        <v>234</v>
      </c>
      <c r="B1" s="14"/>
      <c r="C1" s="14"/>
      <c r="D1" s="14"/>
      <c r="E1" s="14"/>
      <c r="F1" s="14"/>
      <c r="G1" s="14"/>
    </row>
    <row r="3" spans="1:7" ht="15" customHeight="1" x14ac:dyDescent="0.25">
      <c r="A3" s="17" t="s">
        <v>74</v>
      </c>
      <c r="B3" s="17" t="s">
        <v>76</v>
      </c>
      <c r="C3" s="17" t="s">
        <v>75</v>
      </c>
      <c r="E3" s="86" t="s">
        <v>18</v>
      </c>
      <c r="F3" s="86" t="s">
        <v>235</v>
      </c>
      <c r="G3" s="86" t="s">
        <v>91</v>
      </c>
    </row>
    <row r="4" spans="1:7" ht="15" customHeight="1" x14ac:dyDescent="0.25">
      <c r="A4" s="56" t="s">
        <v>77</v>
      </c>
      <c r="B4" s="48"/>
      <c r="C4" s="110">
        <v>15.8</v>
      </c>
      <c r="E4" s="56" t="s">
        <v>236</v>
      </c>
      <c r="F4" s="111" t="s">
        <v>237</v>
      </c>
      <c r="G4" s="112" t="s">
        <v>238</v>
      </c>
    </row>
    <row r="5" spans="1:7" ht="15" customHeight="1" x14ac:dyDescent="0.25">
      <c r="A5" s="56" t="s">
        <v>78</v>
      </c>
      <c r="B5" s="48"/>
      <c r="C5" s="110">
        <v>17.5</v>
      </c>
      <c r="E5" s="56" t="s">
        <v>239</v>
      </c>
      <c r="F5" s="111" t="s">
        <v>240</v>
      </c>
      <c r="G5" s="112" t="s">
        <v>241</v>
      </c>
    </row>
    <row r="6" spans="1:7" ht="15" customHeight="1" x14ac:dyDescent="0.25">
      <c r="A6" s="56" t="s">
        <v>79</v>
      </c>
      <c r="B6" s="48"/>
      <c r="C6" s="110">
        <v>13.5</v>
      </c>
      <c r="E6" s="56" t="s">
        <v>242</v>
      </c>
      <c r="F6" s="111" t="s">
        <v>243</v>
      </c>
      <c r="G6" s="112" t="s">
        <v>244</v>
      </c>
    </row>
    <row r="7" spans="1:7" ht="15" customHeight="1" x14ac:dyDescent="0.25">
      <c r="A7" s="56" t="s">
        <v>80</v>
      </c>
      <c r="B7" s="48"/>
      <c r="C7" s="110">
        <v>18.899999999999999</v>
      </c>
      <c r="E7" s="56" t="s">
        <v>245</v>
      </c>
      <c r="F7" s="111" t="s">
        <v>246</v>
      </c>
      <c r="G7" s="112" t="s">
        <v>247</v>
      </c>
    </row>
    <row r="8" spans="1:7" ht="15" customHeight="1" x14ac:dyDescent="0.25">
      <c r="A8" s="56" t="s">
        <v>81</v>
      </c>
      <c r="B8" s="48"/>
      <c r="C8" s="110">
        <v>13.5</v>
      </c>
    </row>
    <row r="10" spans="1:7" ht="18" customHeight="1" x14ac:dyDescent="0.25">
      <c r="A10" s="58" t="s">
        <v>248</v>
      </c>
      <c r="B10" s="59">
        <v>0.33</v>
      </c>
    </row>
    <row r="12" spans="1:7" ht="15" customHeight="1" x14ac:dyDescent="0.25">
      <c r="A12" s="58" t="s">
        <v>249</v>
      </c>
    </row>
    <row r="13" spans="1:7" ht="15" customHeight="1" x14ac:dyDescent="0.25">
      <c r="A13" s="113" t="s">
        <v>250</v>
      </c>
    </row>
    <row r="14" spans="1:7" ht="15" customHeight="1" x14ac:dyDescent="0.25">
      <c r="A14" s="114" t="s">
        <v>251</v>
      </c>
    </row>
    <row r="15" spans="1:7" ht="15" customHeight="1" x14ac:dyDescent="0.25">
      <c r="A15" s="115" t="s">
        <v>252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7950B"/>
  </sheetPr>
  <dimension ref="A1:T91"/>
  <sheetViews>
    <sheetView zoomScaleNormal="100" workbookViewId="0">
      <pane ySplit="5" topLeftCell="A6" activePane="bottomLeft" state="frozen"/>
      <selection pane="bottomLeft" sqref="A1:T1"/>
    </sheetView>
  </sheetViews>
  <sheetFormatPr baseColWidth="10" defaultColWidth="8.7109375" defaultRowHeight="15" x14ac:dyDescent="0.25"/>
  <cols>
    <col min="1" max="3" width="12" customWidth="1"/>
    <col min="4" max="4" width="8" customWidth="1"/>
    <col min="5" max="6" width="10" customWidth="1"/>
    <col min="7" max="8" width="9" customWidth="1"/>
    <col min="9" max="9" width="10" customWidth="1"/>
    <col min="10" max="10" width="9" customWidth="1"/>
    <col min="11" max="11" width="10" customWidth="1"/>
    <col min="12" max="13" width="13" customWidth="1"/>
    <col min="14" max="14" width="11" customWidth="1"/>
    <col min="15" max="15" width="13" customWidth="1"/>
    <col min="16" max="16" width="9" customWidth="1"/>
    <col min="17" max="17" width="10" customWidth="1"/>
    <col min="18" max="20" width="9" customWidth="1"/>
  </cols>
  <sheetData>
    <row r="1" spans="1:20" ht="42" customHeight="1" x14ac:dyDescent="0.25">
      <c r="A1" s="14" t="s">
        <v>253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5" customHeight="1" x14ac:dyDescent="0.25">
      <c r="A2" s="13" t="s">
        <v>254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4" spans="1:20" ht="15" customHeight="1" x14ac:dyDescent="0.25">
      <c r="A4" s="12" t="s">
        <v>255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36" customHeight="1" x14ac:dyDescent="0.25">
      <c r="A5" s="44" t="s">
        <v>256</v>
      </c>
      <c r="B5" s="44" t="s">
        <v>257</v>
      </c>
      <c r="C5" s="44" t="s">
        <v>258</v>
      </c>
      <c r="D5" s="44" t="s">
        <v>259</v>
      </c>
      <c r="E5" s="44" t="s">
        <v>120</v>
      </c>
      <c r="F5" s="44" t="s">
        <v>260</v>
      </c>
      <c r="G5" s="44" t="s">
        <v>261</v>
      </c>
      <c r="H5" s="44" t="s">
        <v>165</v>
      </c>
      <c r="I5" s="44" t="s">
        <v>122</v>
      </c>
      <c r="J5" s="44" t="s">
        <v>129</v>
      </c>
      <c r="K5" s="44" t="s">
        <v>262</v>
      </c>
      <c r="L5" s="44" t="s">
        <v>158</v>
      </c>
      <c r="M5" s="44" t="s">
        <v>159</v>
      </c>
      <c r="N5" s="44" t="s">
        <v>161</v>
      </c>
      <c r="O5" s="44" t="s">
        <v>162</v>
      </c>
      <c r="P5" s="44" t="s">
        <v>160</v>
      </c>
      <c r="Q5" s="44" t="s">
        <v>263</v>
      </c>
      <c r="R5" s="44" t="s">
        <v>264</v>
      </c>
      <c r="S5" s="44" t="s">
        <v>265</v>
      </c>
      <c r="T5" s="44" t="s">
        <v>266</v>
      </c>
    </row>
    <row r="6" spans="1:20" x14ac:dyDescent="0.25">
      <c r="A6" s="106" t="s">
        <v>267</v>
      </c>
      <c r="B6" s="116">
        <f>DATE(2026,1,1)</f>
        <v>46023</v>
      </c>
      <c r="C6" s="116">
        <f>DATE(2026,1+1,0)</f>
        <v>46053</v>
      </c>
      <c r="D6" s="33">
        <f>COUNTIFS('Registro Incidencias'!B$5:B$200,"&gt;="&amp;B6,'Registro Incidencias'!B$5:B$200,"&lt;="&amp;C6)</f>
        <v>0</v>
      </c>
      <c r="E6" s="33">
        <f>COUNTIFS('Registro Incidencias'!B$5:B$200,"&gt;="&amp;B6,'Registro Incidencias'!B$5:B$200,"&lt;="&amp;C6,'Registro Incidencias'!AK$5:AK$200,"*Resuelta*")+COUNTIFS('Registro Incidencias'!B$5:B$200,"&gt;="&amp;B6,'Registro Incidencias'!B$5:B$200,"&lt;="&amp;C6,'Registro Incidencias'!AK$5:AK$200,"*Cerrada*")</f>
        <v>0</v>
      </c>
      <c r="F6" s="33">
        <f>COUNTIFS('Registro Incidencias'!B$5:B$200,"&gt;="&amp;B6,'Registro Incidencias'!B$5:B$200,"&lt;="&amp;C6,'Registro Incidencias'!AK$5:AK$200,"*No resuelta*")</f>
        <v>0</v>
      </c>
      <c r="G6" s="33">
        <f>COUNTIFS('Registro Incidencias'!B$5:B$200,"&gt;="&amp;B6,'Registro Incidencias'!B$5:B$200,"&lt;="&amp;C6,'Registro Incidencias'!AK$5:AK$200,"*Pospuesta*")</f>
        <v>0</v>
      </c>
      <c r="H6" s="33">
        <f t="shared" ref="H6:H17" si="0">D6-E6-F6</f>
        <v>0</v>
      </c>
      <c r="I6" s="107">
        <f t="shared" ref="I6:I18" si="1">IFERROR(E6/D6,0)</f>
        <v>0</v>
      </c>
      <c r="J6" s="33">
        <f>COUNTIFS('Registro Incidencias'!B$5:B$200,"&gt;="&amp;B6,'Registro Incidencias'!B$5:B$200,"&lt;="&amp;C6,'Registro Incidencias'!AD$5:AD$200,"&gt;1")</f>
        <v>0</v>
      </c>
      <c r="K6" s="107">
        <f t="shared" ref="K6:K18" si="2">IFERROR(1-J6/D6,0)</f>
        <v>0</v>
      </c>
      <c r="L6" s="39">
        <f>SUMIFS('Registro Incidencias'!AQ$5:AQ$200,'Registro Incidencias'!B$5:B$200,"&gt;="&amp;B6,'Registro Incidencias'!B$5:B$200,"&lt;="&amp;C6)</f>
        <v>0</v>
      </c>
      <c r="M6" s="39">
        <f>SUMIFS('Registro Incidencias'!AR$5:AR$200,'Registro Incidencias'!B$5:B$200,"&gt;="&amp;B6,'Registro Incidencias'!B$5:B$200,"&lt;="&amp;C6)</f>
        <v>0</v>
      </c>
      <c r="N6" s="39">
        <f>SUMIFS('Registro Incidencias'!AG$5:AG$200,'Registro Incidencias'!B$5:B$200,"&gt;="&amp;B6,'Registro Incidencias'!B$5:B$200,"&lt;="&amp;C6)</f>
        <v>0</v>
      </c>
      <c r="O6" s="117">
        <f t="shared" ref="O6:O17" si="3">L6+M6+N6</f>
        <v>0</v>
      </c>
      <c r="P6" s="33">
        <f>SUMIFS('Registro Incidencias'!X$5:X$200,'Registro Incidencias'!B$5:B$200,"&gt;="&amp;B6,'Registro Incidencias'!B$5:B$200,"&lt;="&amp;C6)</f>
        <v>0</v>
      </c>
      <c r="Q6" s="41">
        <f>IFERROR(AVERAGEIFS('Registro Incidencias'!AO$5:AO$200,'Registro Incidencias'!B$5:B$200,"&gt;="&amp;B6,'Registro Incidencias'!B$5:B$200,"&lt;="&amp;C6),0)</f>
        <v>0</v>
      </c>
      <c r="R6" s="33">
        <f>COUNTIFS('Registro Incidencias'!B$5:B$200,"&gt;="&amp;B6,'Registro Incidencias'!B$5:B$200,"&lt;="&amp;C6,'Registro Incidencias'!AH$5:AH$200,"Sí")</f>
        <v>0</v>
      </c>
      <c r="S6" s="33">
        <f>COUNTIFS('Registro Incidencias'!B$5:B$200,"&gt;="&amp;B6,'Registro Incidencias'!B$5:B$200,"&lt;="&amp;C6,'Registro Incidencias'!AJ$5:AJ$200,"*Aceptado*")</f>
        <v>0</v>
      </c>
      <c r="T6" s="41">
        <f t="shared" ref="T6:T17" si="4">IFERROR(D6/DAY(C6),0)</f>
        <v>0</v>
      </c>
    </row>
    <row r="7" spans="1:20" x14ac:dyDescent="0.25">
      <c r="A7" s="108" t="s">
        <v>177</v>
      </c>
      <c r="B7" s="118">
        <f>DATE(2026,2,1)</f>
        <v>46054</v>
      </c>
      <c r="C7" s="118">
        <f>DATE(2026,2+1,0)</f>
        <v>46081</v>
      </c>
      <c r="D7" s="22">
        <f>COUNTIFS('Registro Incidencias'!B$5:B$200,"&gt;="&amp;B7,'Registro Incidencias'!B$5:B$200,"&lt;="&amp;C7)</f>
        <v>0</v>
      </c>
      <c r="E7" s="22">
        <f>COUNTIFS('Registro Incidencias'!B$5:B$200,"&gt;="&amp;B7,'Registro Incidencias'!B$5:B$200,"&lt;="&amp;C7,'Registro Incidencias'!AK$5:AK$200,"*Resuelta*")+COUNTIFS('Registro Incidencias'!B$5:B$200,"&gt;="&amp;B7,'Registro Incidencias'!B$5:B$200,"&lt;="&amp;C7,'Registro Incidencias'!AK$5:AK$200,"*Cerrada*")</f>
        <v>0</v>
      </c>
      <c r="F7" s="22">
        <f>COUNTIFS('Registro Incidencias'!B$5:B$200,"&gt;="&amp;B7,'Registro Incidencias'!B$5:B$200,"&lt;="&amp;C7,'Registro Incidencias'!AK$5:AK$200,"*No resuelta*")</f>
        <v>0</v>
      </c>
      <c r="G7" s="22">
        <f>COUNTIFS('Registro Incidencias'!B$5:B$200,"&gt;="&amp;B7,'Registro Incidencias'!B$5:B$200,"&lt;="&amp;C7,'Registro Incidencias'!AK$5:AK$200,"*Pospuesta*")</f>
        <v>0</v>
      </c>
      <c r="H7" s="22">
        <f t="shared" si="0"/>
        <v>0</v>
      </c>
      <c r="I7" s="109">
        <f t="shared" si="1"/>
        <v>0</v>
      </c>
      <c r="J7" s="22">
        <f>COUNTIFS('Registro Incidencias'!B$5:B$200,"&gt;="&amp;B7,'Registro Incidencias'!B$5:B$200,"&lt;="&amp;C7,'Registro Incidencias'!AD$5:AD$200,"&gt;1")</f>
        <v>0</v>
      </c>
      <c r="K7" s="109">
        <f t="shared" si="2"/>
        <v>0</v>
      </c>
      <c r="L7" s="28">
        <f>SUMIFS('Registro Incidencias'!AQ$5:AQ$200,'Registro Incidencias'!B$5:B$200,"&gt;="&amp;B7,'Registro Incidencias'!B$5:B$200,"&lt;="&amp;C7)</f>
        <v>0</v>
      </c>
      <c r="M7" s="28">
        <f>SUMIFS('Registro Incidencias'!AR$5:AR$200,'Registro Incidencias'!B$5:B$200,"&gt;="&amp;B7,'Registro Incidencias'!B$5:B$200,"&lt;="&amp;C7)</f>
        <v>0</v>
      </c>
      <c r="N7" s="28">
        <f>SUMIFS('Registro Incidencias'!AG$5:AG$200,'Registro Incidencias'!B$5:B$200,"&gt;="&amp;B7,'Registro Incidencias'!B$5:B$200,"&lt;="&amp;C7)</f>
        <v>0</v>
      </c>
      <c r="O7" s="119">
        <f t="shared" si="3"/>
        <v>0</v>
      </c>
      <c r="P7" s="22">
        <f>SUMIFS('Registro Incidencias'!X$5:X$200,'Registro Incidencias'!B$5:B$200,"&gt;="&amp;B7,'Registro Incidencias'!B$5:B$200,"&lt;="&amp;C7)</f>
        <v>0</v>
      </c>
      <c r="Q7" s="30">
        <f>IFERROR(AVERAGEIFS('Registro Incidencias'!AO$5:AO$200,'Registro Incidencias'!B$5:B$200,"&gt;="&amp;B7,'Registro Incidencias'!B$5:B$200,"&lt;="&amp;C7),0)</f>
        <v>0</v>
      </c>
      <c r="R7" s="22">
        <f>COUNTIFS('Registro Incidencias'!B$5:B$200,"&gt;="&amp;B7,'Registro Incidencias'!B$5:B$200,"&lt;="&amp;C7,'Registro Incidencias'!AH$5:AH$200,"Sí")</f>
        <v>0</v>
      </c>
      <c r="S7" s="22">
        <f>COUNTIFS('Registro Incidencias'!B$5:B$200,"&gt;="&amp;B7,'Registro Incidencias'!B$5:B$200,"&lt;="&amp;C7,'Registro Incidencias'!AJ$5:AJ$200,"*Aceptado*")</f>
        <v>0</v>
      </c>
      <c r="T7" s="30">
        <f t="shared" si="4"/>
        <v>0</v>
      </c>
    </row>
    <row r="8" spans="1:20" x14ac:dyDescent="0.25">
      <c r="A8" s="106" t="s">
        <v>268</v>
      </c>
      <c r="B8" s="116">
        <f>DATE(2026,3,1)</f>
        <v>46082</v>
      </c>
      <c r="C8" s="116">
        <f>DATE(2026,3+1,0)</f>
        <v>46112</v>
      </c>
      <c r="D8" s="33">
        <f>COUNTIFS('Registro Incidencias'!B$5:B$200,"&gt;="&amp;B8,'Registro Incidencias'!B$5:B$200,"&lt;="&amp;C8)</f>
        <v>0</v>
      </c>
      <c r="E8" s="33">
        <f>COUNTIFS('Registro Incidencias'!B$5:B$200,"&gt;="&amp;B8,'Registro Incidencias'!B$5:B$200,"&lt;="&amp;C8,'Registro Incidencias'!AK$5:AK$200,"*Resuelta*")+COUNTIFS('Registro Incidencias'!B$5:B$200,"&gt;="&amp;B8,'Registro Incidencias'!B$5:B$200,"&lt;="&amp;C8,'Registro Incidencias'!AK$5:AK$200,"*Cerrada*")</f>
        <v>0</v>
      </c>
      <c r="F8" s="33">
        <f>COUNTIFS('Registro Incidencias'!B$5:B$200,"&gt;="&amp;B8,'Registro Incidencias'!B$5:B$200,"&lt;="&amp;C8,'Registro Incidencias'!AK$5:AK$200,"*No resuelta*")</f>
        <v>0</v>
      </c>
      <c r="G8" s="33">
        <f>COUNTIFS('Registro Incidencias'!B$5:B$200,"&gt;="&amp;B8,'Registro Incidencias'!B$5:B$200,"&lt;="&amp;C8,'Registro Incidencias'!AK$5:AK$200,"*Pospuesta*")</f>
        <v>0</v>
      </c>
      <c r="H8" s="33">
        <f t="shared" si="0"/>
        <v>0</v>
      </c>
      <c r="I8" s="107">
        <f t="shared" si="1"/>
        <v>0</v>
      </c>
      <c r="J8" s="33">
        <f>COUNTIFS('Registro Incidencias'!B$5:B$200,"&gt;="&amp;B8,'Registro Incidencias'!B$5:B$200,"&lt;="&amp;C8,'Registro Incidencias'!AD$5:AD$200,"&gt;1")</f>
        <v>0</v>
      </c>
      <c r="K8" s="107">
        <f t="shared" si="2"/>
        <v>0</v>
      </c>
      <c r="L8" s="39">
        <f>SUMIFS('Registro Incidencias'!AQ$5:AQ$200,'Registro Incidencias'!B$5:B$200,"&gt;="&amp;B8,'Registro Incidencias'!B$5:B$200,"&lt;="&amp;C8)</f>
        <v>0</v>
      </c>
      <c r="M8" s="39">
        <f>SUMIFS('Registro Incidencias'!AR$5:AR$200,'Registro Incidencias'!B$5:B$200,"&gt;="&amp;B8,'Registro Incidencias'!B$5:B$200,"&lt;="&amp;C8)</f>
        <v>0</v>
      </c>
      <c r="N8" s="39">
        <f>SUMIFS('Registro Incidencias'!AG$5:AG$200,'Registro Incidencias'!B$5:B$200,"&gt;="&amp;B8,'Registro Incidencias'!B$5:B$200,"&lt;="&amp;C8)</f>
        <v>0</v>
      </c>
      <c r="O8" s="117">
        <f t="shared" si="3"/>
        <v>0</v>
      </c>
      <c r="P8" s="33">
        <f>SUMIFS('Registro Incidencias'!X$5:X$200,'Registro Incidencias'!B$5:B$200,"&gt;="&amp;B8,'Registro Incidencias'!B$5:B$200,"&lt;="&amp;C8)</f>
        <v>0</v>
      </c>
      <c r="Q8" s="41">
        <f>IFERROR(AVERAGEIFS('Registro Incidencias'!AO$5:AO$200,'Registro Incidencias'!B$5:B$200,"&gt;="&amp;B8,'Registro Incidencias'!B$5:B$200,"&lt;="&amp;C8),0)</f>
        <v>0</v>
      </c>
      <c r="R8" s="33">
        <f>COUNTIFS('Registro Incidencias'!B$5:B$200,"&gt;="&amp;B8,'Registro Incidencias'!B$5:B$200,"&lt;="&amp;C8,'Registro Incidencias'!AH$5:AH$200,"Sí")</f>
        <v>0</v>
      </c>
      <c r="S8" s="33">
        <f>COUNTIFS('Registro Incidencias'!B$5:B$200,"&gt;="&amp;B8,'Registro Incidencias'!B$5:B$200,"&lt;="&amp;C8,'Registro Incidencias'!AJ$5:AJ$200,"*Aceptado*")</f>
        <v>0</v>
      </c>
      <c r="T8" s="41">
        <f t="shared" si="4"/>
        <v>0</v>
      </c>
    </row>
    <row r="9" spans="1:20" x14ac:dyDescent="0.25">
      <c r="A9" s="108" t="s">
        <v>269</v>
      </c>
      <c r="B9" s="118">
        <f>DATE(2026,4,1)</f>
        <v>46113</v>
      </c>
      <c r="C9" s="118">
        <f>DATE(2026,4+1,0)</f>
        <v>46142</v>
      </c>
      <c r="D9" s="22">
        <f>COUNTIFS('Registro Incidencias'!B$5:B$200,"&gt;="&amp;B9,'Registro Incidencias'!B$5:B$200,"&lt;="&amp;C9)</f>
        <v>0</v>
      </c>
      <c r="E9" s="22">
        <f>COUNTIFS('Registro Incidencias'!B$5:B$200,"&gt;="&amp;B9,'Registro Incidencias'!B$5:B$200,"&lt;="&amp;C9,'Registro Incidencias'!AK$5:AK$200,"*Resuelta*")+COUNTIFS('Registro Incidencias'!B$5:B$200,"&gt;="&amp;B9,'Registro Incidencias'!B$5:B$200,"&lt;="&amp;C9,'Registro Incidencias'!AK$5:AK$200,"*Cerrada*")</f>
        <v>0</v>
      </c>
      <c r="F9" s="22">
        <f>COUNTIFS('Registro Incidencias'!B$5:B$200,"&gt;="&amp;B9,'Registro Incidencias'!B$5:B$200,"&lt;="&amp;C9,'Registro Incidencias'!AK$5:AK$200,"*No resuelta*")</f>
        <v>0</v>
      </c>
      <c r="G9" s="22">
        <f>COUNTIFS('Registro Incidencias'!B$5:B$200,"&gt;="&amp;B9,'Registro Incidencias'!B$5:B$200,"&lt;="&amp;C9,'Registro Incidencias'!AK$5:AK$200,"*Pospuesta*")</f>
        <v>0</v>
      </c>
      <c r="H9" s="22">
        <f t="shared" si="0"/>
        <v>0</v>
      </c>
      <c r="I9" s="109">
        <f t="shared" si="1"/>
        <v>0</v>
      </c>
      <c r="J9" s="22">
        <f>COUNTIFS('Registro Incidencias'!B$5:B$200,"&gt;="&amp;B9,'Registro Incidencias'!B$5:B$200,"&lt;="&amp;C9,'Registro Incidencias'!AD$5:AD$200,"&gt;1")</f>
        <v>0</v>
      </c>
      <c r="K9" s="109">
        <f t="shared" si="2"/>
        <v>0</v>
      </c>
      <c r="L9" s="28">
        <f>SUMIFS('Registro Incidencias'!AQ$5:AQ$200,'Registro Incidencias'!B$5:B$200,"&gt;="&amp;B9,'Registro Incidencias'!B$5:B$200,"&lt;="&amp;C9)</f>
        <v>0</v>
      </c>
      <c r="M9" s="28">
        <f>SUMIFS('Registro Incidencias'!AR$5:AR$200,'Registro Incidencias'!B$5:B$200,"&gt;="&amp;B9,'Registro Incidencias'!B$5:B$200,"&lt;="&amp;C9)</f>
        <v>0</v>
      </c>
      <c r="N9" s="28">
        <f>SUMIFS('Registro Incidencias'!AG$5:AG$200,'Registro Incidencias'!B$5:B$200,"&gt;="&amp;B9,'Registro Incidencias'!B$5:B$200,"&lt;="&amp;C9)</f>
        <v>0</v>
      </c>
      <c r="O9" s="119">
        <f t="shared" si="3"/>
        <v>0</v>
      </c>
      <c r="P9" s="22">
        <f>SUMIFS('Registro Incidencias'!X$5:X$200,'Registro Incidencias'!B$5:B$200,"&gt;="&amp;B9,'Registro Incidencias'!B$5:B$200,"&lt;="&amp;C9)</f>
        <v>0</v>
      </c>
      <c r="Q9" s="30">
        <f>IFERROR(AVERAGEIFS('Registro Incidencias'!AO$5:AO$200,'Registro Incidencias'!B$5:B$200,"&gt;="&amp;B9,'Registro Incidencias'!B$5:B$200,"&lt;="&amp;C9),0)</f>
        <v>0</v>
      </c>
      <c r="R9" s="22">
        <f>COUNTIFS('Registro Incidencias'!B$5:B$200,"&gt;="&amp;B9,'Registro Incidencias'!B$5:B$200,"&lt;="&amp;C9,'Registro Incidencias'!AH$5:AH$200,"Sí")</f>
        <v>0</v>
      </c>
      <c r="S9" s="22">
        <f>COUNTIFS('Registro Incidencias'!B$5:B$200,"&gt;="&amp;B9,'Registro Incidencias'!B$5:B$200,"&lt;="&amp;C9,'Registro Incidencias'!AJ$5:AJ$200,"*Aceptado*")</f>
        <v>0</v>
      </c>
      <c r="T9" s="30">
        <f t="shared" si="4"/>
        <v>0</v>
      </c>
    </row>
    <row r="10" spans="1:20" x14ac:dyDescent="0.25">
      <c r="A10" s="106" t="s">
        <v>270</v>
      </c>
      <c r="B10" s="116">
        <f>DATE(2026,5,1)</f>
        <v>46143</v>
      </c>
      <c r="C10" s="116">
        <f>DATE(2026,5+1,0)</f>
        <v>46173</v>
      </c>
      <c r="D10" s="33">
        <f>COUNTIFS('Registro Incidencias'!B$5:B$200,"&gt;="&amp;B10,'Registro Incidencias'!B$5:B$200,"&lt;="&amp;C10)</f>
        <v>0</v>
      </c>
      <c r="E10" s="33">
        <f>COUNTIFS('Registro Incidencias'!B$5:B$200,"&gt;="&amp;B10,'Registro Incidencias'!B$5:B$200,"&lt;="&amp;C10,'Registro Incidencias'!AK$5:AK$200,"*Resuelta*")+COUNTIFS('Registro Incidencias'!B$5:B$200,"&gt;="&amp;B10,'Registro Incidencias'!B$5:B$200,"&lt;="&amp;C10,'Registro Incidencias'!AK$5:AK$200,"*Cerrada*")</f>
        <v>0</v>
      </c>
      <c r="F10" s="33">
        <f>COUNTIFS('Registro Incidencias'!B$5:B$200,"&gt;="&amp;B10,'Registro Incidencias'!B$5:B$200,"&lt;="&amp;C10,'Registro Incidencias'!AK$5:AK$200,"*No resuelta*")</f>
        <v>0</v>
      </c>
      <c r="G10" s="33">
        <f>COUNTIFS('Registro Incidencias'!B$5:B$200,"&gt;="&amp;B10,'Registro Incidencias'!B$5:B$200,"&lt;="&amp;C10,'Registro Incidencias'!AK$5:AK$200,"*Pospuesta*")</f>
        <v>0</v>
      </c>
      <c r="H10" s="33">
        <f t="shared" si="0"/>
        <v>0</v>
      </c>
      <c r="I10" s="107">
        <f t="shared" si="1"/>
        <v>0</v>
      </c>
      <c r="J10" s="33">
        <f>COUNTIFS('Registro Incidencias'!B$5:B$200,"&gt;="&amp;B10,'Registro Incidencias'!B$5:B$200,"&lt;="&amp;C10,'Registro Incidencias'!AD$5:AD$200,"&gt;1")</f>
        <v>0</v>
      </c>
      <c r="K10" s="107">
        <f t="shared" si="2"/>
        <v>0</v>
      </c>
      <c r="L10" s="39">
        <f>SUMIFS('Registro Incidencias'!AQ$5:AQ$200,'Registro Incidencias'!B$5:B$200,"&gt;="&amp;B10,'Registro Incidencias'!B$5:B$200,"&lt;="&amp;C10)</f>
        <v>0</v>
      </c>
      <c r="M10" s="39">
        <f>SUMIFS('Registro Incidencias'!AR$5:AR$200,'Registro Incidencias'!B$5:B$200,"&gt;="&amp;B10,'Registro Incidencias'!B$5:B$200,"&lt;="&amp;C10)</f>
        <v>0</v>
      </c>
      <c r="N10" s="39">
        <f>SUMIFS('Registro Incidencias'!AG$5:AG$200,'Registro Incidencias'!B$5:B$200,"&gt;="&amp;B10,'Registro Incidencias'!B$5:B$200,"&lt;="&amp;C10)</f>
        <v>0</v>
      </c>
      <c r="O10" s="117">
        <f t="shared" si="3"/>
        <v>0</v>
      </c>
      <c r="P10" s="33">
        <f>SUMIFS('Registro Incidencias'!X$5:X$200,'Registro Incidencias'!B$5:B$200,"&gt;="&amp;B10,'Registro Incidencias'!B$5:B$200,"&lt;="&amp;C10)</f>
        <v>0</v>
      </c>
      <c r="Q10" s="41">
        <f>IFERROR(AVERAGEIFS('Registro Incidencias'!AO$5:AO$200,'Registro Incidencias'!B$5:B$200,"&gt;="&amp;B10,'Registro Incidencias'!B$5:B$200,"&lt;="&amp;C10),0)</f>
        <v>0</v>
      </c>
      <c r="R10" s="33">
        <f>COUNTIFS('Registro Incidencias'!B$5:B$200,"&gt;="&amp;B10,'Registro Incidencias'!B$5:B$200,"&lt;="&amp;C10,'Registro Incidencias'!AH$5:AH$200,"Sí")</f>
        <v>0</v>
      </c>
      <c r="S10" s="33">
        <f>COUNTIFS('Registro Incidencias'!B$5:B$200,"&gt;="&amp;B10,'Registro Incidencias'!B$5:B$200,"&lt;="&amp;C10,'Registro Incidencias'!AJ$5:AJ$200,"*Aceptado*")</f>
        <v>0</v>
      </c>
      <c r="T10" s="41">
        <f t="shared" si="4"/>
        <v>0</v>
      </c>
    </row>
    <row r="11" spans="1:20" x14ac:dyDescent="0.25">
      <c r="A11" s="108" t="s">
        <v>271</v>
      </c>
      <c r="B11" s="118">
        <f>DATE(2026,6,1)</f>
        <v>46174</v>
      </c>
      <c r="C11" s="118">
        <f>DATE(2026,6+1,0)</f>
        <v>46203</v>
      </c>
      <c r="D11" s="22">
        <f>COUNTIFS('Registro Incidencias'!B$5:B$200,"&gt;="&amp;B11,'Registro Incidencias'!B$5:B$200,"&lt;="&amp;C11)</f>
        <v>0</v>
      </c>
      <c r="E11" s="22">
        <f>COUNTIFS('Registro Incidencias'!B$5:B$200,"&gt;="&amp;B11,'Registro Incidencias'!B$5:B$200,"&lt;="&amp;C11,'Registro Incidencias'!AK$5:AK$200,"*Resuelta*")+COUNTIFS('Registro Incidencias'!B$5:B$200,"&gt;="&amp;B11,'Registro Incidencias'!B$5:B$200,"&lt;="&amp;C11,'Registro Incidencias'!AK$5:AK$200,"*Cerrada*")</f>
        <v>0</v>
      </c>
      <c r="F11" s="22">
        <f>COUNTIFS('Registro Incidencias'!B$5:B$200,"&gt;="&amp;B11,'Registro Incidencias'!B$5:B$200,"&lt;="&amp;C11,'Registro Incidencias'!AK$5:AK$200,"*No resuelta*")</f>
        <v>0</v>
      </c>
      <c r="G11" s="22">
        <f>COUNTIFS('Registro Incidencias'!B$5:B$200,"&gt;="&amp;B11,'Registro Incidencias'!B$5:B$200,"&lt;="&amp;C11,'Registro Incidencias'!AK$5:AK$200,"*Pospuesta*")</f>
        <v>0</v>
      </c>
      <c r="H11" s="22">
        <f t="shared" si="0"/>
        <v>0</v>
      </c>
      <c r="I11" s="109">
        <f t="shared" si="1"/>
        <v>0</v>
      </c>
      <c r="J11" s="22">
        <f>COUNTIFS('Registro Incidencias'!B$5:B$200,"&gt;="&amp;B11,'Registro Incidencias'!B$5:B$200,"&lt;="&amp;C11,'Registro Incidencias'!AD$5:AD$200,"&gt;1")</f>
        <v>0</v>
      </c>
      <c r="K11" s="109">
        <f t="shared" si="2"/>
        <v>0</v>
      </c>
      <c r="L11" s="28">
        <f>SUMIFS('Registro Incidencias'!AQ$5:AQ$200,'Registro Incidencias'!B$5:B$200,"&gt;="&amp;B11,'Registro Incidencias'!B$5:B$200,"&lt;="&amp;C11)</f>
        <v>0</v>
      </c>
      <c r="M11" s="28">
        <f>SUMIFS('Registro Incidencias'!AR$5:AR$200,'Registro Incidencias'!B$5:B$200,"&gt;="&amp;B11,'Registro Incidencias'!B$5:B$200,"&lt;="&amp;C11)</f>
        <v>0</v>
      </c>
      <c r="N11" s="28">
        <f>SUMIFS('Registro Incidencias'!AG$5:AG$200,'Registro Incidencias'!B$5:B$200,"&gt;="&amp;B11,'Registro Incidencias'!B$5:B$200,"&lt;="&amp;C11)</f>
        <v>0</v>
      </c>
      <c r="O11" s="119">
        <f t="shared" si="3"/>
        <v>0</v>
      </c>
      <c r="P11" s="22">
        <f>SUMIFS('Registro Incidencias'!X$5:X$200,'Registro Incidencias'!B$5:B$200,"&gt;="&amp;B11,'Registro Incidencias'!B$5:B$200,"&lt;="&amp;C11)</f>
        <v>0</v>
      </c>
      <c r="Q11" s="30">
        <f>IFERROR(AVERAGEIFS('Registro Incidencias'!AO$5:AO$200,'Registro Incidencias'!B$5:B$200,"&gt;="&amp;B11,'Registro Incidencias'!B$5:B$200,"&lt;="&amp;C11),0)</f>
        <v>0</v>
      </c>
      <c r="R11" s="22">
        <f>COUNTIFS('Registro Incidencias'!B$5:B$200,"&gt;="&amp;B11,'Registro Incidencias'!B$5:B$200,"&lt;="&amp;C11,'Registro Incidencias'!AH$5:AH$200,"Sí")</f>
        <v>0</v>
      </c>
      <c r="S11" s="22">
        <f>COUNTIFS('Registro Incidencias'!B$5:B$200,"&gt;="&amp;B11,'Registro Incidencias'!B$5:B$200,"&lt;="&amp;C11,'Registro Incidencias'!AJ$5:AJ$200,"*Aceptado*")</f>
        <v>0</v>
      </c>
      <c r="T11" s="30">
        <f t="shared" si="4"/>
        <v>0</v>
      </c>
    </row>
    <row r="12" spans="1:20" x14ac:dyDescent="0.25">
      <c r="A12" s="106" t="s">
        <v>272</v>
      </c>
      <c r="B12" s="116">
        <f>DATE(2026,7,1)</f>
        <v>46204</v>
      </c>
      <c r="C12" s="116">
        <f>DATE(2026,7+1,0)</f>
        <v>46234</v>
      </c>
      <c r="D12" s="33">
        <f>COUNTIFS('Registro Incidencias'!B$5:B$200,"&gt;="&amp;B12,'Registro Incidencias'!B$5:B$200,"&lt;="&amp;C12)</f>
        <v>0</v>
      </c>
      <c r="E12" s="33">
        <f>COUNTIFS('Registro Incidencias'!B$5:B$200,"&gt;="&amp;B12,'Registro Incidencias'!B$5:B$200,"&lt;="&amp;C12,'Registro Incidencias'!AK$5:AK$200,"*Resuelta*")+COUNTIFS('Registro Incidencias'!B$5:B$200,"&gt;="&amp;B12,'Registro Incidencias'!B$5:B$200,"&lt;="&amp;C12,'Registro Incidencias'!AK$5:AK$200,"*Cerrada*")</f>
        <v>0</v>
      </c>
      <c r="F12" s="33">
        <f>COUNTIFS('Registro Incidencias'!B$5:B$200,"&gt;="&amp;B12,'Registro Incidencias'!B$5:B$200,"&lt;="&amp;C12,'Registro Incidencias'!AK$5:AK$200,"*No resuelta*")</f>
        <v>0</v>
      </c>
      <c r="G12" s="33">
        <f>COUNTIFS('Registro Incidencias'!B$5:B$200,"&gt;="&amp;B12,'Registro Incidencias'!B$5:B$200,"&lt;="&amp;C12,'Registro Incidencias'!AK$5:AK$200,"*Pospuesta*")</f>
        <v>0</v>
      </c>
      <c r="H12" s="33">
        <f t="shared" si="0"/>
        <v>0</v>
      </c>
      <c r="I12" s="107">
        <f t="shared" si="1"/>
        <v>0</v>
      </c>
      <c r="J12" s="33">
        <f>COUNTIFS('Registro Incidencias'!B$5:B$200,"&gt;="&amp;B12,'Registro Incidencias'!B$5:B$200,"&lt;="&amp;C12,'Registro Incidencias'!AD$5:AD$200,"&gt;1")</f>
        <v>0</v>
      </c>
      <c r="K12" s="107">
        <f t="shared" si="2"/>
        <v>0</v>
      </c>
      <c r="L12" s="39">
        <f>SUMIFS('Registro Incidencias'!AQ$5:AQ$200,'Registro Incidencias'!B$5:B$200,"&gt;="&amp;B12,'Registro Incidencias'!B$5:B$200,"&lt;="&amp;C12)</f>
        <v>0</v>
      </c>
      <c r="M12" s="39">
        <f>SUMIFS('Registro Incidencias'!AR$5:AR$200,'Registro Incidencias'!B$5:B$200,"&gt;="&amp;B12,'Registro Incidencias'!B$5:B$200,"&lt;="&amp;C12)</f>
        <v>0</v>
      </c>
      <c r="N12" s="39">
        <f>SUMIFS('Registro Incidencias'!AG$5:AG$200,'Registro Incidencias'!B$5:B$200,"&gt;="&amp;B12,'Registro Incidencias'!B$5:B$200,"&lt;="&amp;C12)</f>
        <v>0</v>
      </c>
      <c r="O12" s="117">
        <f t="shared" si="3"/>
        <v>0</v>
      </c>
      <c r="P12" s="33">
        <f>SUMIFS('Registro Incidencias'!X$5:X$200,'Registro Incidencias'!B$5:B$200,"&gt;="&amp;B12,'Registro Incidencias'!B$5:B$200,"&lt;="&amp;C12)</f>
        <v>0</v>
      </c>
      <c r="Q12" s="41">
        <f>IFERROR(AVERAGEIFS('Registro Incidencias'!AO$5:AO$200,'Registro Incidencias'!B$5:B$200,"&gt;="&amp;B12,'Registro Incidencias'!B$5:B$200,"&lt;="&amp;C12),0)</f>
        <v>0</v>
      </c>
      <c r="R12" s="33">
        <f>COUNTIFS('Registro Incidencias'!B$5:B$200,"&gt;="&amp;B12,'Registro Incidencias'!B$5:B$200,"&lt;="&amp;C12,'Registro Incidencias'!AH$5:AH$200,"Sí")</f>
        <v>0</v>
      </c>
      <c r="S12" s="33">
        <f>COUNTIFS('Registro Incidencias'!B$5:B$200,"&gt;="&amp;B12,'Registro Incidencias'!B$5:B$200,"&lt;="&amp;C12,'Registro Incidencias'!AJ$5:AJ$200,"*Aceptado*")</f>
        <v>0</v>
      </c>
      <c r="T12" s="41">
        <f t="shared" si="4"/>
        <v>0</v>
      </c>
    </row>
    <row r="13" spans="1:20" x14ac:dyDescent="0.25">
      <c r="A13" s="108" t="s">
        <v>273</v>
      </c>
      <c r="B13" s="118">
        <f>DATE(2026,8,1)</f>
        <v>46235</v>
      </c>
      <c r="C13" s="118">
        <f>DATE(2026,8+1,0)</f>
        <v>46265</v>
      </c>
      <c r="D13" s="22">
        <f>COUNTIFS('Registro Incidencias'!B$5:B$200,"&gt;="&amp;B13,'Registro Incidencias'!B$5:B$200,"&lt;="&amp;C13)</f>
        <v>0</v>
      </c>
      <c r="E13" s="22">
        <f>COUNTIFS('Registro Incidencias'!B$5:B$200,"&gt;="&amp;B13,'Registro Incidencias'!B$5:B$200,"&lt;="&amp;C13,'Registro Incidencias'!AK$5:AK$200,"*Resuelta*")+COUNTIFS('Registro Incidencias'!B$5:B$200,"&gt;="&amp;B13,'Registro Incidencias'!B$5:B$200,"&lt;="&amp;C13,'Registro Incidencias'!AK$5:AK$200,"*Cerrada*")</f>
        <v>0</v>
      </c>
      <c r="F13" s="22">
        <f>COUNTIFS('Registro Incidencias'!B$5:B$200,"&gt;="&amp;B13,'Registro Incidencias'!B$5:B$200,"&lt;="&amp;C13,'Registro Incidencias'!AK$5:AK$200,"*No resuelta*")</f>
        <v>0</v>
      </c>
      <c r="G13" s="22">
        <f>COUNTIFS('Registro Incidencias'!B$5:B$200,"&gt;="&amp;B13,'Registro Incidencias'!B$5:B$200,"&lt;="&amp;C13,'Registro Incidencias'!AK$5:AK$200,"*Pospuesta*")</f>
        <v>0</v>
      </c>
      <c r="H13" s="22">
        <f t="shared" si="0"/>
        <v>0</v>
      </c>
      <c r="I13" s="109">
        <f t="shared" si="1"/>
        <v>0</v>
      </c>
      <c r="J13" s="22">
        <f>COUNTIFS('Registro Incidencias'!B$5:B$200,"&gt;="&amp;B13,'Registro Incidencias'!B$5:B$200,"&lt;="&amp;C13,'Registro Incidencias'!AD$5:AD$200,"&gt;1")</f>
        <v>0</v>
      </c>
      <c r="K13" s="109">
        <f t="shared" si="2"/>
        <v>0</v>
      </c>
      <c r="L13" s="28">
        <f>SUMIFS('Registro Incidencias'!AQ$5:AQ$200,'Registro Incidencias'!B$5:B$200,"&gt;="&amp;B13,'Registro Incidencias'!B$5:B$200,"&lt;="&amp;C13)</f>
        <v>0</v>
      </c>
      <c r="M13" s="28">
        <f>SUMIFS('Registro Incidencias'!AR$5:AR$200,'Registro Incidencias'!B$5:B$200,"&gt;="&amp;B13,'Registro Incidencias'!B$5:B$200,"&lt;="&amp;C13)</f>
        <v>0</v>
      </c>
      <c r="N13" s="28">
        <f>SUMIFS('Registro Incidencias'!AG$5:AG$200,'Registro Incidencias'!B$5:B$200,"&gt;="&amp;B13,'Registro Incidencias'!B$5:B$200,"&lt;="&amp;C13)</f>
        <v>0</v>
      </c>
      <c r="O13" s="119">
        <f t="shared" si="3"/>
        <v>0</v>
      </c>
      <c r="P13" s="22">
        <f>SUMIFS('Registro Incidencias'!X$5:X$200,'Registro Incidencias'!B$5:B$200,"&gt;="&amp;B13,'Registro Incidencias'!B$5:B$200,"&lt;="&amp;C13)</f>
        <v>0</v>
      </c>
      <c r="Q13" s="30">
        <f>IFERROR(AVERAGEIFS('Registro Incidencias'!AO$5:AO$200,'Registro Incidencias'!B$5:B$200,"&gt;="&amp;B13,'Registro Incidencias'!B$5:B$200,"&lt;="&amp;C13),0)</f>
        <v>0</v>
      </c>
      <c r="R13" s="22">
        <f>COUNTIFS('Registro Incidencias'!B$5:B$200,"&gt;="&amp;B13,'Registro Incidencias'!B$5:B$200,"&lt;="&amp;C13,'Registro Incidencias'!AH$5:AH$200,"Sí")</f>
        <v>0</v>
      </c>
      <c r="S13" s="22">
        <f>COUNTIFS('Registro Incidencias'!B$5:B$200,"&gt;="&amp;B13,'Registro Incidencias'!B$5:B$200,"&lt;="&amp;C13,'Registro Incidencias'!AJ$5:AJ$200,"*Aceptado*")</f>
        <v>0</v>
      </c>
      <c r="T13" s="30">
        <f t="shared" si="4"/>
        <v>0</v>
      </c>
    </row>
    <row r="14" spans="1:20" x14ac:dyDescent="0.25">
      <c r="A14" s="106" t="s">
        <v>274</v>
      </c>
      <c r="B14" s="116">
        <f>DATE(2026,9,1)</f>
        <v>46266</v>
      </c>
      <c r="C14" s="116">
        <f>DATE(2026,9+1,0)</f>
        <v>46295</v>
      </c>
      <c r="D14" s="33">
        <f>COUNTIFS('Registro Incidencias'!B$5:B$200,"&gt;="&amp;B14,'Registro Incidencias'!B$5:B$200,"&lt;="&amp;C14)</f>
        <v>0</v>
      </c>
      <c r="E14" s="33">
        <f>COUNTIFS('Registro Incidencias'!B$5:B$200,"&gt;="&amp;B14,'Registro Incidencias'!B$5:B$200,"&lt;="&amp;C14,'Registro Incidencias'!AK$5:AK$200,"*Resuelta*")+COUNTIFS('Registro Incidencias'!B$5:B$200,"&gt;="&amp;B14,'Registro Incidencias'!B$5:B$200,"&lt;="&amp;C14,'Registro Incidencias'!AK$5:AK$200,"*Cerrada*")</f>
        <v>0</v>
      </c>
      <c r="F14" s="33">
        <f>COUNTIFS('Registro Incidencias'!B$5:B$200,"&gt;="&amp;B14,'Registro Incidencias'!B$5:B$200,"&lt;="&amp;C14,'Registro Incidencias'!AK$5:AK$200,"*No resuelta*")</f>
        <v>0</v>
      </c>
      <c r="G14" s="33">
        <f>COUNTIFS('Registro Incidencias'!B$5:B$200,"&gt;="&amp;B14,'Registro Incidencias'!B$5:B$200,"&lt;="&amp;C14,'Registro Incidencias'!AK$5:AK$200,"*Pospuesta*")</f>
        <v>0</v>
      </c>
      <c r="H14" s="33">
        <f t="shared" si="0"/>
        <v>0</v>
      </c>
      <c r="I14" s="107">
        <f t="shared" si="1"/>
        <v>0</v>
      </c>
      <c r="J14" s="33">
        <f>COUNTIFS('Registro Incidencias'!B$5:B$200,"&gt;="&amp;B14,'Registro Incidencias'!B$5:B$200,"&lt;="&amp;C14,'Registro Incidencias'!AD$5:AD$200,"&gt;1")</f>
        <v>0</v>
      </c>
      <c r="K14" s="107">
        <f t="shared" si="2"/>
        <v>0</v>
      </c>
      <c r="L14" s="39">
        <f>SUMIFS('Registro Incidencias'!AQ$5:AQ$200,'Registro Incidencias'!B$5:B$200,"&gt;="&amp;B14,'Registro Incidencias'!B$5:B$200,"&lt;="&amp;C14)</f>
        <v>0</v>
      </c>
      <c r="M14" s="39">
        <f>SUMIFS('Registro Incidencias'!AR$5:AR$200,'Registro Incidencias'!B$5:B$200,"&gt;="&amp;B14,'Registro Incidencias'!B$5:B$200,"&lt;="&amp;C14)</f>
        <v>0</v>
      </c>
      <c r="N14" s="39">
        <f>SUMIFS('Registro Incidencias'!AG$5:AG$200,'Registro Incidencias'!B$5:B$200,"&gt;="&amp;B14,'Registro Incidencias'!B$5:B$200,"&lt;="&amp;C14)</f>
        <v>0</v>
      </c>
      <c r="O14" s="117">
        <f t="shared" si="3"/>
        <v>0</v>
      </c>
      <c r="P14" s="33">
        <f>SUMIFS('Registro Incidencias'!X$5:X$200,'Registro Incidencias'!B$5:B$200,"&gt;="&amp;B14,'Registro Incidencias'!B$5:B$200,"&lt;="&amp;C14)</f>
        <v>0</v>
      </c>
      <c r="Q14" s="41">
        <f>IFERROR(AVERAGEIFS('Registro Incidencias'!AO$5:AO$200,'Registro Incidencias'!B$5:B$200,"&gt;="&amp;B14,'Registro Incidencias'!B$5:B$200,"&lt;="&amp;C14),0)</f>
        <v>0</v>
      </c>
      <c r="R14" s="33">
        <f>COUNTIFS('Registro Incidencias'!B$5:B$200,"&gt;="&amp;B14,'Registro Incidencias'!B$5:B$200,"&lt;="&amp;C14,'Registro Incidencias'!AH$5:AH$200,"Sí")</f>
        <v>0</v>
      </c>
      <c r="S14" s="33">
        <f>COUNTIFS('Registro Incidencias'!B$5:B$200,"&gt;="&amp;B14,'Registro Incidencias'!B$5:B$200,"&lt;="&amp;C14,'Registro Incidencias'!AJ$5:AJ$200,"*Aceptado*")</f>
        <v>0</v>
      </c>
      <c r="T14" s="41">
        <f t="shared" si="4"/>
        <v>0</v>
      </c>
    </row>
    <row r="15" spans="1:20" x14ac:dyDescent="0.25">
      <c r="A15" s="108" t="s">
        <v>275</v>
      </c>
      <c r="B15" s="118">
        <f>DATE(2026,10,1)</f>
        <v>46296</v>
      </c>
      <c r="C15" s="118">
        <f>DATE(2026,10+1,0)</f>
        <v>46326</v>
      </c>
      <c r="D15" s="22">
        <f>COUNTIFS('Registro Incidencias'!B$5:B$200,"&gt;="&amp;B15,'Registro Incidencias'!B$5:B$200,"&lt;="&amp;C15)</f>
        <v>0</v>
      </c>
      <c r="E15" s="22">
        <f>COUNTIFS('Registro Incidencias'!B$5:B$200,"&gt;="&amp;B15,'Registro Incidencias'!B$5:B$200,"&lt;="&amp;C15,'Registro Incidencias'!AK$5:AK$200,"*Resuelta*")+COUNTIFS('Registro Incidencias'!B$5:B$200,"&gt;="&amp;B15,'Registro Incidencias'!B$5:B$200,"&lt;="&amp;C15,'Registro Incidencias'!AK$5:AK$200,"*Cerrada*")</f>
        <v>0</v>
      </c>
      <c r="F15" s="22">
        <f>COUNTIFS('Registro Incidencias'!B$5:B$200,"&gt;="&amp;B15,'Registro Incidencias'!B$5:B$200,"&lt;="&amp;C15,'Registro Incidencias'!AK$5:AK$200,"*No resuelta*")</f>
        <v>0</v>
      </c>
      <c r="G15" s="22">
        <f>COUNTIFS('Registro Incidencias'!B$5:B$200,"&gt;="&amp;B15,'Registro Incidencias'!B$5:B$200,"&lt;="&amp;C15,'Registro Incidencias'!AK$5:AK$200,"*Pospuesta*")</f>
        <v>0</v>
      </c>
      <c r="H15" s="22">
        <f t="shared" si="0"/>
        <v>0</v>
      </c>
      <c r="I15" s="109">
        <f t="shared" si="1"/>
        <v>0</v>
      </c>
      <c r="J15" s="22">
        <f>COUNTIFS('Registro Incidencias'!B$5:B$200,"&gt;="&amp;B15,'Registro Incidencias'!B$5:B$200,"&lt;="&amp;C15,'Registro Incidencias'!AD$5:AD$200,"&gt;1")</f>
        <v>0</v>
      </c>
      <c r="K15" s="109">
        <f t="shared" si="2"/>
        <v>0</v>
      </c>
      <c r="L15" s="28">
        <f>SUMIFS('Registro Incidencias'!AQ$5:AQ$200,'Registro Incidencias'!B$5:B$200,"&gt;="&amp;B15,'Registro Incidencias'!B$5:B$200,"&lt;="&amp;C15)</f>
        <v>0</v>
      </c>
      <c r="M15" s="28">
        <f>SUMIFS('Registro Incidencias'!AR$5:AR$200,'Registro Incidencias'!B$5:B$200,"&gt;="&amp;B15,'Registro Incidencias'!B$5:B$200,"&lt;="&amp;C15)</f>
        <v>0</v>
      </c>
      <c r="N15" s="28">
        <f>SUMIFS('Registro Incidencias'!AG$5:AG$200,'Registro Incidencias'!B$5:B$200,"&gt;="&amp;B15,'Registro Incidencias'!B$5:B$200,"&lt;="&amp;C15)</f>
        <v>0</v>
      </c>
      <c r="O15" s="119">
        <f t="shared" si="3"/>
        <v>0</v>
      </c>
      <c r="P15" s="22">
        <f>SUMIFS('Registro Incidencias'!X$5:X$200,'Registro Incidencias'!B$5:B$200,"&gt;="&amp;B15,'Registro Incidencias'!B$5:B$200,"&lt;="&amp;C15)</f>
        <v>0</v>
      </c>
      <c r="Q15" s="30">
        <f>IFERROR(AVERAGEIFS('Registro Incidencias'!AO$5:AO$200,'Registro Incidencias'!B$5:B$200,"&gt;="&amp;B15,'Registro Incidencias'!B$5:B$200,"&lt;="&amp;C15),0)</f>
        <v>0</v>
      </c>
      <c r="R15" s="22">
        <f>COUNTIFS('Registro Incidencias'!B$5:B$200,"&gt;="&amp;B15,'Registro Incidencias'!B$5:B$200,"&lt;="&amp;C15,'Registro Incidencias'!AH$5:AH$200,"Sí")</f>
        <v>0</v>
      </c>
      <c r="S15" s="22">
        <f>COUNTIFS('Registro Incidencias'!B$5:B$200,"&gt;="&amp;B15,'Registro Incidencias'!B$5:B$200,"&lt;="&amp;C15,'Registro Incidencias'!AJ$5:AJ$200,"*Aceptado*")</f>
        <v>0</v>
      </c>
      <c r="T15" s="30">
        <f t="shared" si="4"/>
        <v>0</v>
      </c>
    </row>
    <row r="16" spans="1:20" x14ac:dyDescent="0.25">
      <c r="A16" s="106" t="s">
        <v>276</v>
      </c>
      <c r="B16" s="116">
        <f>DATE(2026,11,1)</f>
        <v>46327</v>
      </c>
      <c r="C16" s="116">
        <f>DATE(2026,11+1,0)</f>
        <v>46356</v>
      </c>
      <c r="D16" s="33">
        <f>COUNTIFS('Registro Incidencias'!B$5:B$200,"&gt;="&amp;B16,'Registro Incidencias'!B$5:B$200,"&lt;="&amp;C16)</f>
        <v>0</v>
      </c>
      <c r="E16" s="33">
        <f>COUNTIFS('Registro Incidencias'!B$5:B$200,"&gt;="&amp;B16,'Registro Incidencias'!B$5:B$200,"&lt;="&amp;C16,'Registro Incidencias'!AK$5:AK$200,"*Resuelta*")+COUNTIFS('Registro Incidencias'!B$5:B$200,"&gt;="&amp;B16,'Registro Incidencias'!B$5:B$200,"&lt;="&amp;C16,'Registro Incidencias'!AK$5:AK$200,"*Cerrada*")</f>
        <v>0</v>
      </c>
      <c r="F16" s="33">
        <f>COUNTIFS('Registro Incidencias'!B$5:B$200,"&gt;="&amp;B16,'Registro Incidencias'!B$5:B$200,"&lt;="&amp;C16,'Registro Incidencias'!AK$5:AK$200,"*No resuelta*")</f>
        <v>0</v>
      </c>
      <c r="G16" s="33">
        <f>COUNTIFS('Registro Incidencias'!B$5:B$200,"&gt;="&amp;B16,'Registro Incidencias'!B$5:B$200,"&lt;="&amp;C16,'Registro Incidencias'!AK$5:AK$200,"*Pospuesta*")</f>
        <v>0</v>
      </c>
      <c r="H16" s="33">
        <f t="shared" si="0"/>
        <v>0</v>
      </c>
      <c r="I16" s="107">
        <f t="shared" si="1"/>
        <v>0</v>
      </c>
      <c r="J16" s="33">
        <f>COUNTIFS('Registro Incidencias'!B$5:B$200,"&gt;="&amp;B16,'Registro Incidencias'!B$5:B$200,"&lt;="&amp;C16,'Registro Incidencias'!AD$5:AD$200,"&gt;1")</f>
        <v>0</v>
      </c>
      <c r="K16" s="107">
        <f t="shared" si="2"/>
        <v>0</v>
      </c>
      <c r="L16" s="39">
        <f>SUMIFS('Registro Incidencias'!AQ$5:AQ$200,'Registro Incidencias'!B$5:B$200,"&gt;="&amp;B16,'Registro Incidencias'!B$5:B$200,"&lt;="&amp;C16)</f>
        <v>0</v>
      </c>
      <c r="M16" s="39">
        <f>SUMIFS('Registro Incidencias'!AR$5:AR$200,'Registro Incidencias'!B$5:B$200,"&gt;="&amp;B16,'Registro Incidencias'!B$5:B$200,"&lt;="&amp;C16)</f>
        <v>0</v>
      </c>
      <c r="N16" s="39">
        <f>SUMIFS('Registro Incidencias'!AG$5:AG$200,'Registro Incidencias'!B$5:B$200,"&gt;="&amp;B16,'Registro Incidencias'!B$5:B$200,"&lt;="&amp;C16)</f>
        <v>0</v>
      </c>
      <c r="O16" s="117">
        <f t="shared" si="3"/>
        <v>0</v>
      </c>
      <c r="P16" s="33">
        <f>SUMIFS('Registro Incidencias'!X$5:X$200,'Registro Incidencias'!B$5:B$200,"&gt;="&amp;B16,'Registro Incidencias'!B$5:B$200,"&lt;="&amp;C16)</f>
        <v>0</v>
      </c>
      <c r="Q16" s="41">
        <f>IFERROR(AVERAGEIFS('Registro Incidencias'!AO$5:AO$200,'Registro Incidencias'!B$5:B$200,"&gt;="&amp;B16,'Registro Incidencias'!B$5:B$200,"&lt;="&amp;C16),0)</f>
        <v>0</v>
      </c>
      <c r="R16" s="33">
        <f>COUNTIFS('Registro Incidencias'!B$5:B$200,"&gt;="&amp;B16,'Registro Incidencias'!B$5:B$200,"&lt;="&amp;C16,'Registro Incidencias'!AH$5:AH$200,"Sí")</f>
        <v>0</v>
      </c>
      <c r="S16" s="33">
        <f>COUNTIFS('Registro Incidencias'!B$5:B$200,"&gt;="&amp;B16,'Registro Incidencias'!B$5:B$200,"&lt;="&amp;C16,'Registro Incidencias'!AJ$5:AJ$200,"*Aceptado*")</f>
        <v>0</v>
      </c>
      <c r="T16" s="41">
        <f t="shared" si="4"/>
        <v>0</v>
      </c>
    </row>
    <row r="17" spans="1:20" x14ac:dyDescent="0.25">
      <c r="A17" s="108" t="s">
        <v>277</v>
      </c>
      <c r="B17" s="118">
        <f>DATE(2026,12,1)</f>
        <v>46357</v>
      </c>
      <c r="C17" s="118">
        <f>DATE(2026,12+1,0)</f>
        <v>46387</v>
      </c>
      <c r="D17" s="22">
        <f>COUNTIFS('Registro Incidencias'!B$5:B$200,"&gt;="&amp;B17,'Registro Incidencias'!B$5:B$200,"&lt;="&amp;C17)</f>
        <v>0</v>
      </c>
      <c r="E17" s="22">
        <f>COUNTIFS('Registro Incidencias'!B$5:B$200,"&gt;="&amp;B17,'Registro Incidencias'!B$5:B$200,"&lt;="&amp;C17,'Registro Incidencias'!AK$5:AK$200,"*Resuelta*")+COUNTIFS('Registro Incidencias'!B$5:B$200,"&gt;="&amp;B17,'Registro Incidencias'!B$5:B$200,"&lt;="&amp;C17,'Registro Incidencias'!AK$5:AK$200,"*Cerrada*")</f>
        <v>0</v>
      </c>
      <c r="F17" s="22">
        <f>COUNTIFS('Registro Incidencias'!B$5:B$200,"&gt;="&amp;B17,'Registro Incidencias'!B$5:B$200,"&lt;="&amp;C17,'Registro Incidencias'!AK$5:AK$200,"*No resuelta*")</f>
        <v>0</v>
      </c>
      <c r="G17" s="22">
        <f>COUNTIFS('Registro Incidencias'!B$5:B$200,"&gt;="&amp;B17,'Registro Incidencias'!B$5:B$200,"&lt;="&amp;C17,'Registro Incidencias'!AK$5:AK$200,"*Pospuesta*")</f>
        <v>0</v>
      </c>
      <c r="H17" s="22">
        <f t="shared" si="0"/>
        <v>0</v>
      </c>
      <c r="I17" s="109">
        <f t="shared" si="1"/>
        <v>0</v>
      </c>
      <c r="J17" s="22">
        <f>COUNTIFS('Registro Incidencias'!B$5:B$200,"&gt;="&amp;B17,'Registro Incidencias'!B$5:B$200,"&lt;="&amp;C17,'Registro Incidencias'!AD$5:AD$200,"&gt;1")</f>
        <v>0</v>
      </c>
      <c r="K17" s="109">
        <f t="shared" si="2"/>
        <v>0</v>
      </c>
      <c r="L17" s="28">
        <f>SUMIFS('Registro Incidencias'!AQ$5:AQ$200,'Registro Incidencias'!B$5:B$200,"&gt;="&amp;B17,'Registro Incidencias'!B$5:B$200,"&lt;="&amp;C17)</f>
        <v>0</v>
      </c>
      <c r="M17" s="28">
        <f>SUMIFS('Registro Incidencias'!AR$5:AR$200,'Registro Incidencias'!B$5:B$200,"&gt;="&amp;B17,'Registro Incidencias'!B$5:B$200,"&lt;="&amp;C17)</f>
        <v>0</v>
      </c>
      <c r="N17" s="28">
        <f>SUMIFS('Registro Incidencias'!AG$5:AG$200,'Registro Incidencias'!B$5:B$200,"&gt;="&amp;B17,'Registro Incidencias'!B$5:B$200,"&lt;="&amp;C17)</f>
        <v>0</v>
      </c>
      <c r="O17" s="119">
        <f t="shared" si="3"/>
        <v>0</v>
      </c>
      <c r="P17" s="22">
        <f>SUMIFS('Registro Incidencias'!X$5:X$200,'Registro Incidencias'!B$5:B$200,"&gt;="&amp;B17,'Registro Incidencias'!B$5:B$200,"&lt;="&amp;C17)</f>
        <v>0</v>
      </c>
      <c r="Q17" s="30">
        <f>IFERROR(AVERAGEIFS('Registro Incidencias'!AO$5:AO$200,'Registro Incidencias'!B$5:B$200,"&gt;="&amp;B17,'Registro Incidencias'!B$5:B$200,"&lt;="&amp;C17),0)</f>
        <v>0</v>
      </c>
      <c r="R17" s="22">
        <f>COUNTIFS('Registro Incidencias'!B$5:B$200,"&gt;="&amp;B17,'Registro Incidencias'!B$5:B$200,"&lt;="&amp;C17,'Registro Incidencias'!AH$5:AH$200,"Sí")</f>
        <v>0</v>
      </c>
      <c r="S17" s="22">
        <f>COUNTIFS('Registro Incidencias'!B$5:B$200,"&gt;="&amp;B17,'Registro Incidencias'!B$5:B$200,"&lt;="&amp;C17,'Registro Incidencias'!AJ$5:AJ$200,"*Aceptado*")</f>
        <v>0</v>
      </c>
      <c r="T17" s="30">
        <f t="shared" si="4"/>
        <v>0</v>
      </c>
    </row>
    <row r="18" spans="1:20" ht="15" customHeight="1" x14ac:dyDescent="0.25">
      <c r="A18" s="156" t="s">
        <v>278</v>
      </c>
      <c r="B18" s="156"/>
      <c r="C18" s="156"/>
      <c r="D18" s="44">
        <f>SUM(D6:D17)</f>
        <v>0</v>
      </c>
      <c r="E18" s="44">
        <f>SUM(E6:E17)</f>
        <v>0</v>
      </c>
      <c r="F18" s="44">
        <f>SUM(F6:F17)</f>
        <v>0</v>
      </c>
      <c r="G18" s="44">
        <f>SUM(G6:G17)</f>
        <v>0</v>
      </c>
      <c r="H18" s="44">
        <f>SUM(H6:H17)</f>
        <v>0</v>
      </c>
      <c r="I18" s="120">
        <f t="shared" si="1"/>
        <v>0</v>
      </c>
      <c r="J18" s="44">
        <f>SUM(J6:J17)</f>
        <v>0</v>
      </c>
      <c r="K18" s="120">
        <f t="shared" si="2"/>
        <v>0</v>
      </c>
      <c r="L18" s="121">
        <f>SUM(L6:L17)</f>
        <v>0</v>
      </c>
      <c r="M18" s="121">
        <f>SUM(M6:M17)</f>
        <v>0</v>
      </c>
      <c r="N18" s="121">
        <f>SUM(N6:N17)</f>
        <v>0</v>
      </c>
      <c r="O18" s="121">
        <f>SUM(O6:O17)</f>
        <v>0</v>
      </c>
      <c r="P18" s="44">
        <f>SUM(P6:P17)</f>
        <v>0</v>
      </c>
      <c r="Q18" s="122">
        <f>IFERROR(AVERAGE(Q6:Q17),0)</f>
        <v>0</v>
      </c>
      <c r="R18" s="44">
        <f>SUM(R6:R17)</f>
        <v>0</v>
      </c>
      <c r="S18" s="44">
        <f>SUM(S6:S17)</f>
        <v>0</v>
      </c>
      <c r="T18" s="122">
        <f>IFERROR(D18/365,0)</f>
        <v>0</v>
      </c>
    </row>
    <row r="20" spans="1:20" ht="15" customHeight="1" x14ac:dyDescent="0.25">
      <c r="A20" s="10" t="s">
        <v>279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20" ht="25.5" x14ac:dyDescent="0.25">
      <c r="A21" s="17" t="s">
        <v>256</v>
      </c>
      <c r="B21" s="17" t="s">
        <v>74</v>
      </c>
      <c r="C21" s="17" t="s">
        <v>152</v>
      </c>
      <c r="D21" s="17" t="s">
        <v>153</v>
      </c>
      <c r="E21" s="17" t="s">
        <v>154</v>
      </c>
      <c r="F21" s="17" t="s">
        <v>155</v>
      </c>
      <c r="G21" s="17" t="s">
        <v>156</v>
      </c>
      <c r="H21" s="17" t="s">
        <v>157</v>
      </c>
      <c r="I21" s="17" t="s">
        <v>280</v>
      </c>
      <c r="J21" s="17" t="s">
        <v>281</v>
      </c>
      <c r="K21" s="17" t="s">
        <v>158</v>
      </c>
      <c r="L21" s="17" t="s">
        <v>159</v>
      </c>
      <c r="M21" s="17" t="s">
        <v>161</v>
      </c>
      <c r="N21" s="17" t="s">
        <v>162</v>
      </c>
      <c r="O21" s="17" t="s">
        <v>160</v>
      </c>
      <c r="P21" s="17" t="s">
        <v>263</v>
      </c>
      <c r="Q21" s="17" t="s">
        <v>262</v>
      </c>
      <c r="R21" s="17" t="s">
        <v>266</v>
      </c>
    </row>
    <row r="22" spans="1:20" x14ac:dyDescent="0.25">
      <c r="A22" s="106" t="s">
        <v>267</v>
      </c>
      <c r="B22" s="106" t="s">
        <v>77</v>
      </c>
      <c r="C22" s="39">
        <v>15.8</v>
      </c>
      <c r="D22" s="33">
        <f>COUNTIFS('Registro Incidencias'!B$5:B$200,"&gt;="&amp;DATE(2026,1,1),'Registro Incidencias'!B$5:B$200,"&lt;="&amp;DATE(2026,1+1,0),'Registro Incidencias'!S$5:S$200,"Raúl")</f>
        <v>0</v>
      </c>
      <c r="E22" s="33">
        <f>COUNTIFS('Registro Incidencias'!B$5:B$200,"&gt;="&amp;DATE(2026,1,1),'Registro Incidencias'!B$5:B$200,"&lt;="&amp;DATE(2026,1+1,0),'Registro Incidencias'!S$5:S$200,"Raúl",'Registro Incidencias'!AK$5:AK$200,"*Resuelta*")+COUNTIFS('Registro Incidencias'!B$5:B$200,"&gt;="&amp;DATE(2026,1,1),'Registro Incidencias'!B$5:B$200,"&lt;="&amp;DATE(2026,1+1,0),'Registro Incidencias'!S$5:S$200,"Raúl",'Registro Incidencias'!AK$5:AK$200,"*Cerrada*")</f>
        <v>0</v>
      </c>
      <c r="F22" s="107">
        <f t="shared" ref="F22:F53" si="5">IFERROR(E22/D22,0)</f>
        <v>0</v>
      </c>
      <c r="G22" s="33">
        <f>COUNTIFS('Registro Incidencias'!B$5:B$200,"&gt;="&amp;DATE(2026,1,1),'Registro Incidencias'!B$5:B$200,"&lt;="&amp;DATE(2026,1+1,0),'Registro Incidencias'!S$5:S$200,"Raúl",'Registro Incidencias'!AD$5:AD$200,"&gt;1")</f>
        <v>0</v>
      </c>
      <c r="H22" s="33">
        <f>COUNTIFS('Registro Incidencias'!B$5:B$200,"&gt;="&amp;DATE(2026,1,1),'Registro Incidencias'!B$5:B$200,"&lt;="&amp;DATE(2026,1+1,0),'Registro Incidencias'!S$5:S$200,"Raúl",'Registro Incidencias'!AE$5:AE$200,"Fallo del técnico")</f>
        <v>0</v>
      </c>
      <c r="I22" s="33">
        <f>COUNTIFS('Registro Incidencias'!B$5:B$200,"&gt;="&amp;DATE(2026,1,1),'Registro Incidencias'!B$5:B$200,"&lt;="&amp;DATE(2026,1+1,0),'Registro Incidencias'!S$5:S$200,"Raúl",'Registro Incidencias'!AE$5:AE$200,"Falta de material")</f>
        <v>0</v>
      </c>
      <c r="J22" s="33">
        <f>COUNTIFS('Registro Incidencias'!B$5:B$200,"&gt;="&amp;DATE(2026,1,1),'Registro Incidencias'!B$5:B$200,"&lt;="&amp;DATE(2026,1+1,0),'Registro Incidencias'!S$5:S$200,"Raúl",'Registro Incidencias'!AE$5:AE$200,"Causa del cliente")</f>
        <v>0</v>
      </c>
      <c r="K22" s="39">
        <f>SUMIFS('Registro Incidencias'!AQ$5:AQ$200,'Registro Incidencias'!B$5:B$200,"&gt;="&amp;DATE(2026,1,1),'Registro Incidencias'!B$5:B$200,"&lt;="&amp;DATE(2026,1+1,0),'Registro Incidencias'!S$5:S$200,"Raúl")</f>
        <v>0</v>
      </c>
      <c r="L22" s="39">
        <f>SUMIFS('Registro Incidencias'!AR$5:AR$200,'Registro Incidencias'!B$5:B$200,"&gt;="&amp;DATE(2026,1,1),'Registro Incidencias'!B$5:B$200,"&lt;="&amp;DATE(2026,1+1,0),'Registro Incidencias'!S$5:S$200,"Raúl")</f>
        <v>0</v>
      </c>
      <c r="M22" s="39">
        <f>SUMIFS('Registro Incidencias'!AG$5:AG$200,'Registro Incidencias'!B$5:B$200,"&gt;="&amp;DATE(2026,1,1),'Registro Incidencias'!B$5:B$200,"&lt;="&amp;DATE(2026,1+1,0),'Registro Incidencias'!S$5:S$200,"Raúl")</f>
        <v>0</v>
      </c>
      <c r="N22" s="117">
        <f t="shared" ref="N22:N53" si="6">K22+L22+M22</f>
        <v>0</v>
      </c>
      <c r="O22" s="33">
        <f>SUMIFS('Registro Incidencias'!X$5:X$200,'Registro Incidencias'!B$5:B$200,"&gt;="&amp;DATE(2026,1,1),'Registro Incidencias'!B$5:B$200,"&lt;="&amp;DATE(2026,1+1,0),'Registro Incidencias'!S$5:S$200,"Raúl")</f>
        <v>0</v>
      </c>
      <c r="P22" s="41">
        <f>IFERROR(AVERAGEIFS('Registro Incidencias'!AO$5:AO$200,'Registro Incidencias'!B$5:B$200,"&gt;="&amp;DATE(2026,1,1),'Registro Incidencias'!B$5:B$200,"&lt;="&amp;DATE(2026,1+1,0),'Registro Incidencias'!S$5:S$200,"Raúl"),0)</f>
        <v>0</v>
      </c>
      <c r="Q22" s="107">
        <f t="shared" ref="Q22:Q53" si="7">IFERROR(1-G22/D22,0)</f>
        <v>0</v>
      </c>
      <c r="R22" s="41">
        <f>IFERROR(D22/DAY(DATE(2026,1+1,0)),0)</f>
        <v>0</v>
      </c>
    </row>
    <row r="23" spans="1:20" x14ac:dyDescent="0.25">
      <c r="A23" s="22"/>
      <c r="B23" s="108" t="s">
        <v>78</v>
      </c>
      <c r="C23" s="28">
        <v>17.5</v>
      </c>
      <c r="D23" s="22">
        <f>COUNTIFS('Registro Incidencias'!B$5:B$200,"&gt;="&amp;DATE(2026,1,1),'Registro Incidencias'!B$5:B$200,"&lt;="&amp;DATE(2026,1+1,0),'Registro Incidencias'!S$5:S$200,"Juan Luis")</f>
        <v>0</v>
      </c>
      <c r="E23" s="22">
        <f>COUNTIFS('Registro Incidencias'!B$5:B$200,"&gt;="&amp;DATE(2026,1,1),'Registro Incidencias'!B$5:B$200,"&lt;="&amp;DATE(2026,1+1,0),'Registro Incidencias'!S$5:S$200,"Juan Luis",'Registro Incidencias'!AK$5:AK$200,"*Resuelta*")+COUNTIFS('Registro Incidencias'!B$5:B$200,"&gt;="&amp;DATE(2026,1,1),'Registro Incidencias'!B$5:B$200,"&lt;="&amp;DATE(2026,1+1,0),'Registro Incidencias'!S$5:S$200,"Juan Luis",'Registro Incidencias'!AK$5:AK$200,"*Cerrada*")</f>
        <v>0</v>
      </c>
      <c r="F23" s="109">
        <f t="shared" si="5"/>
        <v>0</v>
      </c>
      <c r="G23" s="22">
        <f>COUNTIFS('Registro Incidencias'!B$5:B$200,"&gt;="&amp;DATE(2026,1,1),'Registro Incidencias'!B$5:B$200,"&lt;="&amp;DATE(2026,1+1,0),'Registro Incidencias'!S$5:S$200,"Juan Luis",'Registro Incidencias'!AD$5:AD$200,"&gt;1")</f>
        <v>0</v>
      </c>
      <c r="H23" s="22">
        <f>COUNTIFS('Registro Incidencias'!B$5:B$200,"&gt;="&amp;DATE(2026,1,1),'Registro Incidencias'!B$5:B$200,"&lt;="&amp;DATE(2026,1+1,0),'Registro Incidencias'!S$5:S$200,"Juan Luis",'Registro Incidencias'!AE$5:AE$200,"Fallo del técnico")</f>
        <v>0</v>
      </c>
      <c r="I23" s="22">
        <f>COUNTIFS('Registro Incidencias'!B$5:B$200,"&gt;="&amp;DATE(2026,1,1),'Registro Incidencias'!B$5:B$200,"&lt;="&amp;DATE(2026,1+1,0),'Registro Incidencias'!S$5:S$200,"Juan Luis",'Registro Incidencias'!AE$5:AE$200,"Falta de material")</f>
        <v>0</v>
      </c>
      <c r="J23" s="22">
        <f>COUNTIFS('Registro Incidencias'!B$5:B$200,"&gt;="&amp;DATE(2026,1,1),'Registro Incidencias'!B$5:B$200,"&lt;="&amp;DATE(2026,1+1,0),'Registro Incidencias'!S$5:S$200,"Juan Luis",'Registro Incidencias'!AE$5:AE$200,"Causa del cliente")</f>
        <v>0</v>
      </c>
      <c r="K23" s="28">
        <f>SUMIFS('Registro Incidencias'!AQ$5:AQ$200,'Registro Incidencias'!B$5:B$200,"&gt;="&amp;DATE(2026,1,1),'Registro Incidencias'!B$5:B$200,"&lt;="&amp;DATE(2026,1+1,0),'Registro Incidencias'!S$5:S$200,"Juan Luis")</f>
        <v>0</v>
      </c>
      <c r="L23" s="28">
        <f>SUMIFS('Registro Incidencias'!AR$5:AR$200,'Registro Incidencias'!B$5:B$200,"&gt;="&amp;DATE(2026,1,1),'Registro Incidencias'!B$5:B$200,"&lt;="&amp;DATE(2026,1+1,0),'Registro Incidencias'!S$5:S$200,"Juan Luis")</f>
        <v>0</v>
      </c>
      <c r="M23" s="28">
        <f>SUMIFS('Registro Incidencias'!AG$5:AG$200,'Registro Incidencias'!B$5:B$200,"&gt;="&amp;DATE(2026,1,1),'Registro Incidencias'!B$5:B$200,"&lt;="&amp;DATE(2026,1+1,0),'Registro Incidencias'!S$5:S$200,"Juan Luis")</f>
        <v>0</v>
      </c>
      <c r="N23" s="119">
        <f t="shared" si="6"/>
        <v>0</v>
      </c>
      <c r="O23" s="22">
        <f>SUMIFS('Registro Incidencias'!X$5:X$200,'Registro Incidencias'!B$5:B$200,"&gt;="&amp;DATE(2026,1,1),'Registro Incidencias'!B$5:B$200,"&lt;="&amp;DATE(2026,1+1,0),'Registro Incidencias'!S$5:S$200,"Juan Luis")</f>
        <v>0</v>
      </c>
      <c r="P23" s="30">
        <f>IFERROR(AVERAGEIFS('Registro Incidencias'!AO$5:AO$200,'Registro Incidencias'!B$5:B$200,"&gt;="&amp;DATE(2026,1,1),'Registro Incidencias'!B$5:B$200,"&lt;="&amp;DATE(2026,1+1,0),'Registro Incidencias'!S$5:S$200,"Juan Luis"),0)</f>
        <v>0</v>
      </c>
      <c r="Q23" s="109">
        <f t="shared" si="7"/>
        <v>0</v>
      </c>
      <c r="R23" s="30">
        <f>IFERROR(D23/DAY(DATE(2026,1+1,0)),0)</f>
        <v>0</v>
      </c>
    </row>
    <row r="24" spans="1:20" x14ac:dyDescent="0.25">
      <c r="A24" s="33"/>
      <c r="B24" s="106" t="s">
        <v>79</v>
      </c>
      <c r="C24" s="39">
        <v>13.5</v>
      </c>
      <c r="D24" s="33">
        <f>COUNTIFS('Registro Incidencias'!B$5:B$200,"&gt;="&amp;DATE(2026,1,1),'Registro Incidencias'!B$5:B$200,"&lt;="&amp;DATE(2026,1+1,0),'Registro Incidencias'!S$5:S$200,"Paco")</f>
        <v>0</v>
      </c>
      <c r="E24" s="33">
        <f>COUNTIFS('Registro Incidencias'!B$5:B$200,"&gt;="&amp;DATE(2026,1,1),'Registro Incidencias'!B$5:B$200,"&lt;="&amp;DATE(2026,1+1,0),'Registro Incidencias'!S$5:S$200,"Paco",'Registro Incidencias'!AK$5:AK$200,"*Resuelta*")+COUNTIFS('Registro Incidencias'!B$5:B$200,"&gt;="&amp;DATE(2026,1,1),'Registro Incidencias'!B$5:B$200,"&lt;="&amp;DATE(2026,1+1,0),'Registro Incidencias'!S$5:S$200,"Paco",'Registro Incidencias'!AK$5:AK$200,"*Cerrada*")</f>
        <v>0</v>
      </c>
      <c r="F24" s="107">
        <f t="shared" si="5"/>
        <v>0</v>
      </c>
      <c r="G24" s="33">
        <f>COUNTIFS('Registro Incidencias'!B$5:B$200,"&gt;="&amp;DATE(2026,1,1),'Registro Incidencias'!B$5:B$200,"&lt;="&amp;DATE(2026,1+1,0),'Registro Incidencias'!S$5:S$200,"Paco",'Registro Incidencias'!AD$5:AD$200,"&gt;1")</f>
        <v>0</v>
      </c>
      <c r="H24" s="33">
        <f>COUNTIFS('Registro Incidencias'!B$5:B$200,"&gt;="&amp;DATE(2026,1,1),'Registro Incidencias'!B$5:B$200,"&lt;="&amp;DATE(2026,1+1,0),'Registro Incidencias'!S$5:S$200,"Paco",'Registro Incidencias'!AE$5:AE$200,"Fallo del técnico")</f>
        <v>0</v>
      </c>
      <c r="I24" s="33">
        <f>COUNTIFS('Registro Incidencias'!B$5:B$200,"&gt;="&amp;DATE(2026,1,1),'Registro Incidencias'!B$5:B$200,"&lt;="&amp;DATE(2026,1+1,0),'Registro Incidencias'!S$5:S$200,"Paco",'Registro Incidencias'!AE$5:AE$200,"Falta de material")</f>
        <v>0</v>
      </c>
      <c r="J24" s="33">
        <f>COUNTIFS('Registro Incidencias'!B$5:B$200,"&gt;="&amp;DATE(2026,1,1),'Registro Incidencias'!B$5:B$200,"&lt;="&amp;DATE(2026,1+1,0),'Registro Incidencias'!S$5:S$200,"Paco",'Registro Incidencias'!AE$5:AE$200,"Causa del cliente")</f>
        <v>0</v>
      </c>
      <c r="K24" s="39">
        <f>SUMIFS('Registro Incidencias'!AQ$5:AQ$200,'Registro Incidencias'!B$5:B$200,"&gt;="&amp;DATE(2026,1,1),'Registro Incidencias'!B$5:B$200,"&lt;="&amp;DATE(2026,1+1,0),'Registro Incidencias'!S$5:S$200,"Paco")</f>
        <v>0</v>
      </c>
      <c r="L24" s="39">
        <f>SUMIFS('Registro Incidencias'!AR$5:AR$200,'Registro Incidencias'!B$5:B$200,"&gt;="&amp;DATE(2026,1,1),'Registro Incidencias'!B$5:B$200,"&lt;="&amp;DATE(2026,1+1,0),'Registro Incidencias'!S$5:S$200,"Paco")</f>
        <v>0</v>
      </c>
      <c r="M24" s="39">
        <f>SUMIFS('Registro Incidencias'!AG$5:AG$200,'Registro Incidencias'!B$5:B$200,"&gt;="&amp;DATE(2026,1,1),'Registro Incidencias'!B$5:B$200,"&lt;="&amp;DATE(2026,1+1,0),'Registro Incidencias'!S$5:S$200,"Paco")</f>
        <v>0</v>
      </c>
      <c r="N24" s="117">
        <f t="shared" si="6"/>
        <v>0</v>
      </c>
      <c r="O24" s="33">
        <f>SUMIFS('Registro Incidencias'!X$5:X$200,'Registro Incidencias'!B$5:B$200,"&gt;="&amp;DATE(2026,1,1),'Registro Incidencias'!B$5:B$200,"&lt;="&amp;DATE(2026,1+1,0),'Registro Incidencias'!S$5:S$200,"Paco")</f>
        <v>0</v>
      </c>
      <c r="P24" s="41">
        <f>IFERROR(AVERAGEIFS('Registro Incidencias'!AO$5:AO$200,'Registro Incidencias'!B$5:B$200,"&gt;="&amp;DATE(2026,1,1),'Registro Incidencias'!B$5:B$200,"&lt;="&amp;DATE(2026,1+1,0),'Registro Incidencias'!S$5:S$200,"Paco"),0)</f>
        <v>0</v>
      </c>
      <c r="Q24" s="107">
        <f t="shared" si="7"/>
        <v>0</v>
      </c>
      <c r="R24" s="41">
        <f>IFERROR(D24/DAY(DATE(2026,1+1,0)),0)</f>
        <v>0</v>
      </c>
    </row>
    <row r="25" spans="1:20" x14ac:dyDescent="0.25">
      <c r="A25" s="22"/>
      <c r="B25" s="108" t="s">
        <v>80</v>
      </c>
      <c r="C25" s="28">
        <v>18.899999999999999</v>
      </c>
      <c r="D25" s="22">
        <f>COUNTIFS('Registro Incidencias'!B$5:B$200,"&gt;="&amp;DATE(2026,1,1),'Registro Incidencias'!B$5:B$200,"&lt;="&amp;DATE(2026,1+1,0),'Registro Incidencias'!S$5:S$200,"Juan Manuel")</f>
        <v>0</v>
      </c>
      <c r="E25" s="22">
        <f>COUNTIFS('Registro Incidencias'!B$5:B$200,"&gt;="&amp;DATE(2026,1,1),'Registro Incidencias'!B$5:B$200,"&lt;="&amp;DATE(2026,1+1,0),'Registro Incidencias'!S$5:S$200,"Juan Manuel",'Registro Incidencias'!AK$5:AK$200,"*Resuelta*")+COUNTIFS('Registro Incidencias'!B$5:B$200,"&gt;="&amp;DATE(2026,1,1),'Registro Incidencias'!B$5:B$200,"&lt;="&amp;DATE(2026,1+1,0),'Registro Incidencias'!S$5:S$200,"Juan Manuel",'Registro Incidencias'!AK$5:AK$200,"*Cerrada*")</f>
        <v>0</v>
      </c>
      <c r="F25" s="109">
        <f t="shared" si="5"/>
        <v>0</v>
      </c>
      <c r="G25" s="22">
        <f>COUNTIFS('Registro Incidencias'!B$5:B$200,"&gt;="&amp;DATE(2026,1,1),'Registro Incidencias'!B$5:B$200,"&lt;="&amp;DATE(2026,1+1,0),'Registro Incidencias'!S$5:S$200,"Juan Manuel",'Registro Incidencias'!AD$5:AD$200,"&gt;1")</f>
        <v>0</v>
      </c>
      <c r="H25" s="22">
        <f>COUNTIFS('Registro Incidencias'!B$5:B$200,"&gt;="&amp;DATE(2026,1,1),'Registro Incidencias'!B$5:B$200,"&lt;="&amp;DATE(2026,1+1,0),'Registro Incidencias'!S$5:S$200,"Juan Manuel",'Registro Incidencias'!AE$5:AE$200,"Fallo del técnico")</f>
        <v>0</v>
      </c>
      <c r="I25" s="22">
        <f>COUNTIFS('Registro Incidencias'!B$5:B$200,"&gt;="&amp;DATE(2026,1,1),'Registro Incidencias'!B$5:B$200,"&lt;="&amp;DATE(2026,1+1,0),'Registro Incidencias'!S$5:S$200,"Juan Manuel",'Registro Incidencias'!AE$5:AE$200,"Falta de material")</f>
        <v>0</v>
      </c>
      <c r="J25" s="22">
        <f>COUNTIFS('Registro Incidencias'!B$5:B$200,"&gt;="&amp;DATE(2026,1,1),'Registro Incidencias'!B$5:B$200,"&lt;="&amp;DATE(2026,1+1,0),'Registro Incidencias'!S$5:S$200,"Juan Manuel",'Registro Incidencias'!AE$5:AE$200,"Causa del cliente")</f>
        <v>0</v>
      </c>
      <c r="K25" s="28">
        <f>SUMIFS('Registro Incidencias'!AQ$5:AQ$200,'Registro Incidencias'!B$5:B$200,"&gt;="&amp;DATE(2026,1,1),'Registro Incidencias'!B$5:B$200,"&lt;="&amp;DATE(2026,1+1,0),'Registro Incidencias'!S$5:S$200,"Juan Manuel")</f>
        <v>0</v>
      </c>
      <c r="L25" s="28">
        <f>SUMIFS('Registro Incidencias'!AR$5:AR$200,'Registro Incidencias'!B$5:B$200,"&gt;="&amp;DATE(2026,1,1),'Registro Incidencias'!B$5:B$200,"&lt;="&amp;DATE(2026,1+1,0),'Registro Incidencias'!S$5:S$200,"Juan Manuel")</f>
        <v>0</v>
      </c>
      <c r="M25" s="28">
        <f>SUMIFS('Registro Incidencias'!AG$5:AG$200,'Registro Incidencias'!B$5:B$200,"&gt;="&amp;DATE(2026,1,1),'Registro Incidencias'!B$5:B$200,"&lt;="&amp;DATE(2026,1+1,0),'Registro Incidencias'!S$5:S$200,"Juan Manuel")</f>
        <v>0</v>
      </c>
      <c r="N25" s="119">
        <f t="shared" si="6"/>
        <v>0</v>
      </c>
      <c r="O25" s="22">
        <f>SUMIFS('Registro Incidencias'!X$5:X$200,'Registro Incidencias'!B$5:B$200,"&gt;="&amp;DATE(2026,1,1),'Registro Incidencias'!B$5:B$200,"&lt;="&amp;DATE(2026,1+1,0),'Registro Incidencias'!S$5:S$200,"Juan Manuel")</f>
        <v>0</v>
      </c>
      <c r="P25" s="30">
        <f>IFERROR(AVERAGEIFS('Registro Incidencias'!AO$5:AO$200,'Registro Incidencias'!B$5:B$200,"&gt;="&amp;DATE(2026,1,1),'Registro Incidencias'!B$5:B$200,"&lt;="&amp;DATE(2026,1+1,0),'Registro Incidencias'!S$5:S$200,"Juan Manuel"),0)</f>
        <v>0</v>
      </c>
      <c r="Q25" s="109">
        <f t="shared" si="7"/>
        <v>0</v>
      </c>
      <c r="R25" s="30">
        <f>IFERROR(D25/DAY(DATE(2026,1+1,0)),0)</f>
        <v>0</v>
      </c>
    </row>
    <row r="26" spans="1:20" x14ac:dyDescent="0.25">
      <c r="A26" s="33"/>
      <c r="B26" s="106" t="s">
        <v>81</v>
      </c>
      <c r="C26" s="39">
        <v>13.5</v>
      </c>
      <c r="D26" s="33">
        <f>COUNTIFS('Registro Incidencias'!B$5:B$200,"&gt;="&amp;DATE(2026,1,1),'Registro Incidencias'!B$5:B$200,"&lt;="&amp;DATE(2026,1+1,0),'Registro Incidencias'!S$5:S$200,"Adrián")</f>
        <v>0</v>
      </c>
      <c r="E26" s="33">
        <f>COUNTIFS('Registro Incidencias'!B$5:B$200,"&gt;="&amp;DATE(2026,1,1),'Registro Incidencias'!B$5:B$200,"&lt;="&amp;DATE(2026,1+1,0),'Registro Incidencias'!S$5:S$200,"Adrián",'Registro Incidencias'!AK$5:AK$200,"*Resuelta*")+COUNTIFS('Registro Incidencias'!B$5:B$200,"&gt;="&amp;DATE(2026,1,1),'Registro Incidencias'!B$5:B$200,"&lt;="&amp;DATE(2026,1+1,0),'Registro Incidencias'!S$5:S$200,"Adrián",'Registro Incidencias'!AK$5:AK$200,"*Cerrada*")</f>
        <v>0</v>
      </c>
      <c r="F26" s="107">
        <f t="shared" si="5"/>
        <v>0</v>
      </c>
      <c r="G26" s="33">
        <f>COUNTIFS('Registro Incidencias'!B$5:B$200,"&gt;="&amp;DATE(2026,1,1),'Registro Incidencias'!B$5:B$200,"&lt;="&amp;DATE(2026,1+1,0),'Registro Incidencias'!S$5:S$200,"Adrián",'Registro Incidencias'!AD$5:AD$200,"&gt;1")</f>
        <v>0</v>
      </c>
      <c r="H26" s="33">
        <f>COUNTIFS('Registro Incidencias'!B$5:B$200,"&gt;="&amp;DATE(2026,1,1),'Registro Incidencias'!B$5:B$200,"&lt;="&amp;DATE(2026,1+1,0),'Registro Incidencias'!S$5:S$200,"Adrián",'Registro Incidencias'!AE$5:AE$200,"Fallo del técnico")</f>
        <v>0</v>
      </c>
      <c r="I26" s="33">
        <f>COUNTIFS('Registro Incidencias'!B$5:B$200,"&gt;="&amp;DATE(2026,1,1),'Registro Incidencias'!B$5:B$200,"&lt;="&amp;DATE(2026,1+1,0),'Registro Incidencias'!S$5:S$200,"Adrián",'Registro Incidencias'!AE$5:AE$200,"Falta de material")</f>
        <v>0</v>
      </c>
      <c r="J26" s="33">
        <f>COUNTIFS('Registro Incidencias'!B$5:B$200,"&gt;="&amp;DATE(2026,1,1),'Registro Incidencias'!B$5:B$200,"&lt;="&amp;DATE(2026,1+1,0),'Registro Incidencias'!S$5:S$200,"Adrián",'Registro Incidencias'!AE$5:AE$200,"Causa del cliente")</f>
        <v>0</v>
      </c>
      <c r="K26" s="39">
        <f>SUMIFS('Registro Incidencias'!AQ$5:AQ$200,'Registro Incidencias'!B$5:B$200,"&gt;="&amp;DATE(2026,1,1),'Registro Incidencias'!B$5:B$200,"&lt;="&amp;DATE(2026,1+1,0),'Registro Incidencias'!S$5:S$200,"Adrián")</f>
        <v>0</v>
      </c>
      <c r="L26" s="39">
        <f>SUMIFS('Registro Incidencias'!AR$5:AR$200,'Registro Incidencias'!B$5:B$200,"&gt;="&amp;DATE(2026,1,1),'Registro Incidencias'!B$5:B$200,"&lt;="&amp;DATE(2026,1+1,0),'Registro Incidencias'!S$5:S$200,"Adrián")</f>
        <v>0</v>
      </c>
      <c r="M26" s="39">
        <f>SUMIFS('Registro Incidencias'!AG$5:AG$200,'Registro Incidencias'!B$5:B$200,"&gt;="&amp;DATE(2026,1,1),'Registro Incidencias'!B$5:B$200,"&lt;="&amp;DATE(2026,1+1,0),'Registro Incidencias'!S$5:S$200,"Adrián")</f>
        <v>0</v>
      </c>
      <c r="N26" s="117">
        <f t="shared" si="6"/>
        <v>0</v>
      </c>
      <c r="O26" s="33">
        <f>SUMIFS('Registro Incidencias'!X$5:X$200,'Registro Incidencias'!B$5:B$200,"&gt;="&amp;DATE(2026,1,1),'Registro Incidencias'!B$5:B$200,"&lt;="&amp;DATE(2026,1+1,0),'Registro Incidencias'!S$5:S$200,"Adrián")</f>
        <v>0</v>
      </c>
      <c r="P26" s="41">
        <f>IFERROR(AVERAGEIFS('Registro Incidencias'!AO$5:AO$200,'Registro Incidencias'!B$5:B$200,"&gt;="&amp;DATE(2026,1,1),'Registro Incidencias'!B$5:B$200,"&lt;="&amp;DATE(2026,1+1,0),'Registro Incidencias'!S$5:S$200,"Adrián"),0)</f>
        <v>0</v>
      </c>
      <c r="Q26" s="107">
        <f t="shared" si="7"/>
        <v>0</v>
      </c>
      <c r="R26" s="41">
        <f>IFERROR(D26/DAY(DATE(2026,1+1,0)),0)</f>
        <v>0</v>
      </c>
    </row>
    <row r="27" spans="1:20" x14ac:dyDescent="0.25">
      <c r="A27" s="106" t="s">
        <v>177</v>
      </c>
      <c r="B27" s="106" t="s">
        <v>77</v>
      </c>
      <c r="C27" s="39">
        <v>15.8</v>
      </c>
      <c r="D27" s="33">
        <f>COUNTIFS('Registro Incidencias'!B$5:B$200,"&gt;="&amp;DATE(2026,2,1),'Registro Incidencias'!B$5:B$200,"&lt;="&amp;DATE(2026,2+1,0),'Registro Incidencias'!S$5:S$200,"Raúl")</f>
        <v>0</v>
      </c>
      <c r="E27" s="33">
        <f>COUNTIFS('Registro Incidencias'!B$5:B$200,"&gt;="&amp;DATE(2026,2,1),'Registro Incidencias'!B$5:B$200,"&lt;="&amp;DATE(2026,2+1,0),'Registro Incidencias'!S$5:S$200,"Raúl",'Registro Incidencias'!AK$5:AK$200,"*Resuelta*")+COUNTIFS('Registro Incidencias'!B$5:B$200,"&gt;="&amp;DATE(2026,2,1),'Registro Incidencias'!B$5:B$200,"&lt;="&amp;DATE(2026,2+1,0),'Registro Incidencias'!S$5:S$200,"Raúl",'Registro Incidencias'!AK$5:AK$200,"*Cerrada*")</f>
        <v>0</v>
      </c>
      <c r="F27" s="107">
        <f t="shared" si="5"/>
        <v>0</v>
      </c>
      <c r="G27" s="33">
        <f>COUNTIFS('Registro Incidencias'!B$5:B$200,"&gt;="&amp;DATE(2026,2,1),'Registro Incidencias'!B$5:B$200,"&lt;="&amp;DATE(2026,2+1,0),'Registro Incidencias'!S$5:S$200,"Raúl",'Registro Incidencias'!AD$5:AD$200,"&gt;1")</f>
        <v>0</v>
      </c>
      <c r="H27" s="33">
        <f>COUNTIFS('Registro Incidencias'!B$5:B$200,"&gt;="&amp;DATE(2026,2,1),'Registro Incidencias'!B$5:B$200,"&lt;="&amp;DATE(2026,2+1,0),'Registro Incidencias'!S$5:S$200,"Raúl",'Registro Incidencias'!AE$5:AE$200,"Fallo del técnico")</f>
        <v>0</v>
      </c>
      <c r="I27" s="33">
        <f>COUNTIFS('Registro Incidencias'!B$5:B$200,"&gt;="&amp;DATE(2026,2,1),'Registro Incidencias'!B$5:B$200,"&lt;="&amp;DATE(2026,2+1,0),'Registro Incidencias'!S$5:S$200,"Raúl",'Registro Incidencias'!AE$5:AE$200,"Falta de material")</f>
        <v>0</v>
      </c>
      <c r="J27" s="33">
        <f>COUNTIFS('Registro Incidencias'!B$5:B$200,"&gt;="&amp;DATE(2026,2,1),'Registro Incidencias'!B$5:B$200,"&lt;="&amp;DATE(2026,2+1,0),'Registro Incidencias'!S$5:S$200,"Raúl",'Registro Incidencias'!AE$5:AE$200,"Causa del cliente")</f>
        <v>0</v>
      </c>
      <c r="K27" s="39">
        <f>SUMIFS('Registro Incidencias'!AQ$5:AQ$200,'Registro Incidencias'!B$5:B$200,"&gt;="&amp;DATE(2026,2,1),'Registro Incidencias'!B$5:B$200,"&lt;="&amp;DATE(2026,2+1,0),'Registro Incidencias'!S$5:S$200,"Raúl")</f>
        <v>0</v>
      </c>
      <c r="L27" s="39">
        <f>SUMIFS('Registro Incidencias'!AR$5:AR$200,'Registro Incidencias'!B$5:B$200,"&gt;="&amp;DATE(2026,2,1),'Registro Incidencias'!B$5:B$200,"&lt;="&amp;DATE(2026,2+1,0),'Registro Incidencias'!S$5:S$200,"Raúl")</f>
        <v>0</v>
      </c>
      <c r="M27" s="39">
        <f>SUMIFS('Registro Incidencias'!AG$5:AG$200,'Registro Incidencias'!B$5:B$200,"&gt;="&amp;DATE(2026,2,1),'Registro Incidencias'!B$5:B$200,"&lt;="&amp;DATE(2026,2+1,0),'Registro Incidencias'!S$5:S$200,"Raúl")</f>
        <v>0</v>
      </c>
      <c r="N27" s="117">
        <f t="shared" si="6"/>
        <v>0</v>
      </c>
      <c r="O27" s="33">
        <f>SUMIFS('Registro Incidencias'!X$5:X$200,'Registro Incidencias'!B$5:B$200,"&gt;="&amp;DATE(2026,2,1),'Registro Incidencias'!B$5:B$200,"&lt;="&amp;DATE(2026,2+1,0),'Registro Incidencias'!S$5:S$200,"Raúl")</f>
        <v>0</v>
      </c>
      <c r="P27" s="41">
        <f>IFERROR(AVERAGEIFS('Registro Incidencias'!AO$5:AO$200,'Registro Incidencias'!B$5:B$200,"&gt;="&amp;DATE(2026,2,1),'Registro Incidencias'!B$5:B$200,"&lt;="&amp;DATE(2026,2+1,0),'Registro Incidencias'!S$5:S$200,"Raúl"),0)</f>
        <v>0</v>
      </c>
      <c r="Q27" s="107">
        <f t="shared" si="7"/>
        <v>0</v>
      </c>
      <c r="R27" s="41">
        <f>IFERROR(D27/DAY(DATE(2026,2+1,0)),0)</f>
        <v>0</v>
      </c>
    </row>
    <row r="28" spans="1:20" x14ac:dyDescent="0.25">
      <c r="A28" s="22"/>
      <c r="B28" s="108" t="s">
        <v>78</v>
      </c>
      <c r="C28" s="28">
        <v>17.5</v>
      </c>
      <c r="D28" s="22">
        <f>COUNTIFS('Registro Incidencias'!B$5:B$200,"&gt;="&amp;DATE(2026,2,1),'Registro Incidencias'!B$5:B$200,"&lt;="&amp;DATE(2026,2+1,0),'Registro Incidencias'!S$5:S$200,"Juan Luis")</f>
        <v>0</v>
      </c>
      <c r="E28" s="22">
        <f>COUNTIFS('Registro Incidencias'!B$5:B$200,"&gt;="&amp;DATE(2026,2,1),'Registro Incidencias'!B$5:B$200,"&lt;="&amp;DATE(2026,2+1,0),'Registro Incidencias'!S$5:S$200,"Juan Luis",'Registro Incidencias'!AK$5:AK$200,"*Resuelta*")+COUNTIFS('Registro Incidencias'!B$5:B$200,"&gt;="&amp;DATE(2026,2,1),'Registro Incidencias'!B$5:B$200,"&lt;="&amp;DATE(2026,2+1,0),'Registro Incidencias'!S$5:S$200,"Juan Luis",'Registro Incidencias'!AK$5:AK$200,"*Cerrada*")</f>
        <v>0</v>
      </c>
      <c r="F28" s="109">
        <f t="shared" si="5"/>
        <v>0</v>
      </c>
      <c r="G28" s="22">
        <f>COUNTIFS('Registro Incidencias'!B$5:B$200,"&gt;="&amp;DATE(2026,2,1),'Registro Incidencias'!B$5:B$200,"&lt;="&amp;DATE(2026,2+1,0),'Registro Incidencias'!S$5:S$200,"Juan Luis",'Registro Incidencias'!AD$5:AD$200,"&gt;1")</f>
        <v>0</v>
      </c>
      <c r="H28" s="22">
        <f>COUNTIFS('Registro Incidencias'!B$5:B$200,"&gt;="&amp;DATE(2026,2,1),'Registro Incidencias'!B$5:B$200,"&lt;="&amp;DATE(2026,2+1,0),'Registro Incidencias'!S$5:S$200,"Juan Luis",'Registro Incidencias'!AE$5:AE$200,"Fallo del técnico")</f>
        <v>0</v>
      </c>
      <c r="I28" s="22">
        <f>COUNTIFS('Registro Incidencias'!B$5:B$200,"&gt;="&amp;DATE(2026,2,1),'Registro Incidencias'!B$5:B$200,"&lt;="&amp;DATE(2026,2+1,0),'Registro Incidencias'!S$5:S$200,"Juan Luis",'Registro Incidencias'!AE$5:AE$200,"Falta de material")</f>
        <v>0</v>
      </c>
      <c r="J28" s="22">
        <f>COUNTIFS('Registro Incidencias'!B$5:B$200,"&gt;="&amp;DATE(2026,2,1),'Registro Incidencias'!B$5:B$200,"&lt;="&amp;DATE(2026,2+1,0),'Registro Incidencias'!S$5:S$200,"Juan Luis",'Registro Incidencias'!AE$5:AE$200,"Causa del cliente")</f>
        <v>0</v>
      </c>
      <c r="K28" s="28">
        <f>SUMIFS('Registro Incidencias'!AQ$5:AQ$200,'Registro Incidencias'!B$5:B$200,"&gt;="&amp;DATE(2026,2,1),'Registro Incidencias'!B$5:B$200,"&lt;="&amp;DATE(2026,2+1,0),'Registro Incidencias'!S$5:S$200,"Juan Luis")</f>
        <v>0</v>
      </c>
      <c r="L28" s="28">
        <f>SUMIFS('Registro Incidencias'!AR$5:AR$200,'Registro Incidencias'!B$5:B$200,"&gt;="&amp;DATE(2026,2,1),'Registro Incidencias'!B$5:B$200,"&lt;="&amp;DATE(2026,2+1,0),'Registro Incidencias'!S$5:S$200,"Juan Luis")</f>
        <v>0</v>
      </c>
      <c r="M28" s="28">
        <f>SUMIFS('Registro Incidencias'!AG$5:AG$200,'Registro Incidencias'!B$5:B$200,"&gt;="&amp;DATE(2026,2,1),'Registro Incidencias'!B$5:B$200,"&lt;="&amp;DATE(2026,2+1,0),'Registro Incidencias'!S$5:S$200,"Juan Luis")</f>
        <v>0</v>
      </c>
      <c r="N28" s="119">
        <f t="shared" si="6"/>
        <v>0</v>
      </c>
      <c r="O28" s="22">
        <f>SUMIFS('Registro Incidencias'!X$5:X$200,'Registro Incidencias'!B$5:B$200,"&gt;="&amp;DATE(2026,2,1),'Registro Incidencias'!B$5:B$200,"&lt;="&amp;DATE(2026,2+1,0),'Registro Incidencias'!S$5:S$200,"Juan Luis")</f>
        <v>0</v>
      </c>
      <c r="P28" s="30">
        <f>IFERROR(AVERAGEIFS('Registro Incidencias'!AO$5:AO$200,'Registro Incidencias'!B$5:B$200,"&gt;="&amp;DATE(2026,2,1),'Registro Incidencias'!B$5:B$200,"&lt;="&amp;DATE(2026,2+1,0),'Registro Incidencias'!S$5:S$200,"Juan Luis"),0)</f>
        <v>0</v>
      </c>
      <c r="Q28" s="109">
        <f t="shared" si="7"/>
        <v>0</v>
      </c>
      <c r="R28" s="30">
        <f>IFERROR(D28/DAY(DATE(2026,2+1,0)),0)</f>
        <v>0</v>
      </c>
    </row>
    <row r="29" spans="1:20" x14ac:dyDescent="0.25">
      <c r="A29" s="33"/>
      <c r="B29" s="106" t="s">
        <v>79</v>
      </c>
      <c r="C29" s="39">
        <v>13.5</v>
      </c>
      <c r="D29" s="33">
        <f>COUNTIFS('Registro Incidencias'!B$5:B$200,"&gt;="&amp;DATE(2026,2,1),'Registro Incidencias'!B$5:B$200,"&lt;="&amp;DATE(2026,2+1,0),'Registro Incidencias'!S$5:S$200,"Paco")</f>
        <v>0</v>
      </c>
      <c r="E29" s="33">
        <f>COUNTIFS('Registro Incidencias'!B$5:B$200,"&gt;="&amp;DATE(2026,2,1),'Registro Incidencias'!B$5:B$200,"&lt;="&amp;DATE(2026,2+1,0),'Registro Incidencias'!S$5:S$200,"Paco",'Registro Incidencias'!AK$5:AK$200,"*Resuelta*")+COUNTIFS('Registro Incidencias'!B$5:B$200,"&gt;="&amp;DATE(2026,2,1),'Registro Incidencias'!B$5:B$200,"&lt;="&amp;DATE(2026,2+1,0),'Registro Incidencias'!S$5:S$200,"Paco",'Registro Incidencias'!AK$5:AK$200,"*Cerrada*")</f>
        <v>0</v>
      </c>
      <c r="F29" s="107">
        <f t="shared" si="5"/>
        <v>0</v>
      </c>
      <c r="G29" s="33">
        <f>COUNTIFS('Registro Incidencias'!B$5:B$200,"&gt;="&amp;DATE(2026,2,1),'Registro Incidencias'!B$5:B$200,"&lt;="&amp;DATE(2026,2+1,0),'Registro Incidencias'!S$5:S$200,"Paco",'Registro Incidencias'!AD$5:AD$200,"&gt;1")</f>
        <v>0</v>
      </c>
      <c r="H29" s="33">
        <f>COUNTIFS('Registro Incidencias'!B$5:B$200,"&gt;="&amp;DATE(2026,2,1),'Registro Incidencias'!B$5:B$200,"&lt;="&amp;DATE(2026,2+1,0),'Registro Incidencias'!S$5:S$200,"Paco",'Registro Incidencias'!AE$5:AE$200,"Fallo del técnico")</f>
        <v>0</v>
      </c>
      <c r="I29" s="33">
        <f>COUNTIFS('Registro Incidencias'!B$5:B$200,"&gt;="&amp;DATE(2026,2,1),'Registro Incidencias'!B$5:B$200,"&lt;="&amp;DATE(2026,2+1,0),'Registro Incidencias'!S$5:S$200,"Paco",'Registro Incidencias'!AE$5:AE$200,"Falta de material")</f>
        <v>0</v>
      </c>
      <c r="J29" s="33">
        <f>COUNTIFS('Registro Incidencias'!B$5:B$200,"&gt;="&amp;DATE(2026,2,1),'Registro Incidencias'!B$5:B$200,"&lt;="&amp;DATE(2026,2+1,0),'Registro Incidencias'!S$5:S$200,"Paco",'Registro Incidencias'!AE$5:AE$200,"Causa del cliente")</f>
        <v>0</v>
      </c>
      <c r="K29" s="39">
        <f>SUMIFS('Registro Incidencias'!AQ$5:AQ$200,'Registro Incidencias'!B$5:B$200,"&gt;="&amp;DATE(2026,2,1),'Registro Incidencias'!B$5:B$200,"&lt;="&amp;DATE(2026,2+1,0),'Registro Incidencias'!S$5:S$200,"Paco")</f>
        <v>0</v>
      </c>
      <c r="L29" s="39">
        <f>SUMIFS('Registro Incidencias'!AR$5:AR$200,'Registro Incidencias'!B$5:B$200,"&gt;="&amp;DATE(2026,2,1),'Registro Incidencias'!B$5:B$200,"&lt;="&amp;DATE(2026,2+1,0),'Registro Incidencias'!S$5:S$200,"Paco")</f>
        <v>0</v>
      </c>
      <c r="M29" s="39">
        <f>SUMIFS('Registro Incidencias'!AG$5:AG$200,'Registro Incidencias'!B$5:B$200,"&gt;="&amp;DATE(2026,2,1),'Registro Incidencias'!B$5:B$200,"&lt;="&amp;DATE(2026,2+1,0),'Registro Incidencias'!S$5:S$200,"Paco")</f>
        <v>0</v>
      </c>
      <c r="N29" s="117">
        <f t="shared" si="6"/>
        <v>0</v>
      </c>
      <c r="O29" s="33">
        <f>SUMIFS('Registro Incidencias'!X$5:X$200,'Registro Incidencias'!B$5:B$200,"&gt;="&amp;DATE(2026,2,1),'Registro Incidencias'!B$5:B$200,"&lt;="&amp;DATE(2026,2+1,0),'Registro Incidencias'!S$5:S$200,"Paco")</f>
        <v>0</v>
      </c>
      <c r="P29" s="41">
        <f>IFERROR(AVERAGEIFS('Registro Incidencias'!AO$5:AO$200,'Registro Incidencias'!B$5:B$200,"&gt;="&amp;DATE(2026,2,1),'Registro Incidencias'!B$5:B$200,"&lt;="&amp;DATE(2026,2+1,0),'Registro Incidencias'!S$5:S$200,"Paco"),0)</f>
        <v>0</v>
      </c>
      <c r="Q29" s="107">
        <f t="shared" si="7"/>
        <v>0</v>
      </c>
      <c r="R29" s="41">
        <f>IFERROR(D29/DAY(DATE(2026,2+1,0)),0)</f>
        <v>0</v>
      </c>
    </row>
    <row r="30" spans="1:20" x14ac:dyDescent="0.25">
      <c r="A30" s="22"/>
      <c r="B30" s="108" t="s">
        <v>80</v>
      </c>
      <c r="C30" s="28">
        <v>18.899999999999999</v>
      </c>
      <c r="D30" s="22">
        <f>COUNTIFS('Registro Incidencias'!B$5:B$200,"&gt;="&amp;DATE(2026,2,1),'Registro Incidencias'!B$5:B$200,"&lt;="&amp;DATE(2026,2+1,0),'Registro Incidencias'!S$5:S$200,"Juan Manuel")</f>
        <v>0</v>
      </c>
      <c r="E30" s="22">
        <f>COUNTIFS('Registro Incidencias'!B$5:B$200,"&gt;="&amp;DATE(2026,2,1),'Registro Incidencias'!B$5:B$200,"&lt;="&amp;DATE(2026,2+1,0),'Registro Incidencias'!S$5:S$200,"Juan Manuel",'Registro Incidencias'!AK$5:AK$200,"*Resuelta*")+COUNTIFS('Registro Incidencias'!B$5:B$200,"&gt;="&amp;DATE(2026,2,1),'Registro Incidencias'!B$5:B$200,"&lt;="&amp;DATE(2026,2+1,0),'Registro Incidencias'!S$5:S$200,"Juan Manuel",'Registro Incidencias'!AK$5:AK$200,"*Cerrada*")</f>
        <v>0</v>
      </c>
      <c r="F30" s="109">
        <f t="shared" si="5"/>
        <v>0</v>
      </c>
      <c r="G30" s="22">
        <f>COUNTIFS('Registro Incidencias'!B$5:B$200,"&gt;="&amp;DATE(2026,2,1),'Registro Incidencias'!B$5:B$200,"&lt;="&amp;DATE(2026,2+1,0),'Registro Incidencias'!S$5:S$200,"Juan Manuel",'Registro Incidencias'!AD$5:AD$200,"&gt;1")</f>
        <v>0</v>
      </c>
      <c r="H30" s="22">
        <f>COUNTIFS('Registro Incidencias'!B$5:B$200,"&gt;="&amp;DATE(2026,2,1),'Registro Incidencias'!B$5:B$200,"&lt;="&amp;DATE(2026,2+1,0),'Registro Incidencias'!S$5:S$200,"Juan Manuel",'Registro Incidencias'!AE$5:AE$200,"Fallo del técnico")</f>
        <v>0</v>
      </c>
      <c r="I30" s="22">
        <f>COUNTIFS('Registro Incidencias'!B$5:B$200,"&gt;="&amp;DATE(2026,2,1),'Registro Incidencias'!B$5:B$200,"&lt;="&amp;DATE(2026,2+1,0),'Registro Incidencias'!S$5:S$200,"Juan Manuel",'Registro Incidencias'!AE$5:AE$200,"Falta de material")</f>
        <v>0</v>
      </c>
      <c r="J30" s="22">
        <f>COUNTIFS('Registro Incidencias'!B$5:B$200,"&gt;="&amp;DATE(2026,2,1),'Registro Incidencias'!B$5:B$200,"&lt;="&amp;DATE(2026,2+1,0),'Registro Incidencias'!S$5:S$200,"Juan Manuel",'Registro Incidencias'!AE$5:AE$200,"Causa del cliente")</f>
        <v>0</v>
      </c>
      <c r="K30" s="28">
        <f>SUMIFS('Registro Incidencias'!AQ$5:AQ$200,'Registro Incidencias'!B$5:B$200,"&gt;="&amp;DATE(2026,2,1),'Registro Incidencias'!B$5:B$200,"&lt;="&amp;DATE(2026,2+1,0),'Registro Incidencias'!S$5:S$200,"Juan Manuel")</f>
        <v>0</v>
      </c>
      <c r="L30" s="28">
        <f>SUMIFS('Registro Incidencias'!AR$5:AR$200,'Registro Incidencias'!B$5:B$200,"&gt;="&amp;DATE(2026,2,1),'Registro Incidencias'!B$5:B$200,"&lt;="&amp;DATE(2026,2+1,0),'Registro Incidencias'!S$5:S$200,"Juan Manuel")</f>
        <v>0</v>
      </c>
      <c r="M30" s="28">
        <f>SUMIFS('Registro Incidencias'!AG$5:AG$200,'Registro Incidencias'!B$5:B$200,"&gt;="&amp;DATE(2026,2,1),'Registro Incidencias'!B$5:B$200,"&lt;="&amp;DATE(2026,2+1,0),'Registro Incidencias'!S$5:S$200,"Juan Manuel")</f>
        <v>0</v>
      </c>
      <c r="N30" s="119">
        <f t="shared" si="6"/>
        <v>0</v>
      </c>
      <c r="O30" s="22">
        <f>SUMIFS('Registro Incidencias'!X$5:X$200,'Registro Incidencias'!B$5:B$200,"&gt;="&amp;DATE(2026,2,1),'Registro Incidencias'!B$5:B$200,"&lt;="&amp;DATE(2026,2+1,0),'Registro Incidencias'!S$5:S$200,"Juan Manuel")</f>
        <v>0</v>
      </c>
      <c r="P30" s="30">
        <f>IFERROR(AVERAGEIFS('Registro Incidencias'!AO$5:AO$200,'Registro Incidencias'!B$5:B$200,"&gt;="&amp;DATE(2026,2,1),'Registro Incidencias'!B$5:B$200,"&lt;="&amp;DATE(2026,2+1,0),'Registro Incidencias'!S$5:S$200,"Juan Manuel"),0)</f>
        <v>0</v>
      </c>
      <c r="Q30" s="109">
        <f t="shared" si="7"/>
        <v>0</v>
      </c>
      <c r="R30" s="30">
        <f>IFERROR(D30/DAY(DATE(2026,2+1,0)),0)</f>
        <v>0</v>
      </c>
    </row>
    <row r="31" spans="1:20" x14ac:dyDescent="0.25">
      <c r="A31" s="33"/>
      <c r="B31" s="106" t="s">
        <v>81</v>
      </c>
      <c r="C31" s="39">
        <v>13.5</v>
      </c>
      <c r="D31" s="33">
        <f>COUNTIFS('Registro Incidencias'!B$5:B$200,"&gt;="&amp;DATE(2026,2,1),'Registro Incidencias'!B$5:B$200,"&lt;="&amp;DATE(2026,2+1,0),'Registro Incidencias'!S$5:S$200,"Adrián")</f>
        <v>0</v>
      </c>
      <c r="E31" s="33">
        <f>COUNTIFS('Registro Incidencias'!B$5:B$200,"&gt;="&amp;DATE(2026,2,1),'Registro Incidencias'!B$5:B$200,"&lt;="&amp;DATE(2026,2+1,0),'Registro Incidencias'!S$5:S$200,"Adrián",'Registro Incidencias'!AK$5:AK$200,"*Resuelta*")+COUNTIFS('Registro Incidencias'!B$5:B$200,"&gt;="&amp;DATE(2026,2,1),'Registro Incidencias'!B$5:B$200,"&lt;="&amp;DATE(2026,2+1,0),'Registro Incidencias'!S$5:S$200,"Adrián",'Registro Incidencias'!AK$5:AK$200,"*Cerrada*")</f>
        <v>0</v>
      </c>
      <c r="F31" s="107">
        <f t="shared" si="5"/>
        <v>0</v>
      </c>
      <c r="G31" s="33">
        <f>COUNTIFS('Registro Incidencias'!B$5:B$200,"&gt;="&amp;DATE(2026,2,1),'Registro Incidencias'!B$5:B$200,"&lt;="&amp;DATE(2026,2+1,0),'Registro Incidencias'!S$5:S$200,"Adrián",'Registro Incidencias'!AD$5:AD$200,"&gt;1")</f>
        <v>0</v>
      </c>
      <c r="H31" s="33">
        <f>COUNTIFS('Registro Incidencias'!B$5:B$200,"&gt;="&amp;DATE(2026,2,1),'Registro Incidencias'!B$5:B$200,"&lt;="&amp;DATE(2026,2+1,0),'Registro Incidencias'!S$5:S$200,"Adrián",'Registro Incidencias'!AE$5:AE$200,"Fallo del técnico")</f>
        <v>0</v>
      </c>
      <c r="I31" s="33">
        <f>COUNTIFS('Registro Incidencias'!B$5:B$200,"&gt;="&amp;DATE(2026,2,1),'Registro Incidencias'!B$5:B$200,"&lt;="&amp;DATE(2026,2+1,0),'Registro Incidencias'!S$5:S$200,"Adrián",'Registro Incidencias'!AE$5:AE$200,"Falta de material")</f>
        <v>0</v>
      </c>
      <c r="J31" s="33">
        <f>COUNTIFS('Registro Incidencias'!B$5:B$200,"&gt;="&amp;DATE(2026,2,1),'Registro Incidencias'!B$5:B$200,"&lt;="&amp;DATE(2026,2+1,0),'Registro Incidencias'!S$5:S$200,"Adrián",'Registro Incidencias'!AE$5:AE$200,"Causa del cliente")</f>
        <v>0</v>
      </c>
      <c r="K31" s="39">
        <f>SUMIFS('Registro Incidencias'!AQ$5:AQ$200,'Registro Incidencias'!B$5:B$200,"&gt;="&amp;DATE(2026,2,1),'Registro Incidencias'!B$5:B$200,"&lt;="&amp;DATE(2026,2+1,0),'Registro Incidencias'!S$5:S$200,"Adrián")</f>
        <v>0</v>
      </c>
      <c r="L31" s="39">
        <f>SUMIFS('Registro Incidencias'!AR$5:AR$200,'Registro Incidencias'!B$5:B$200,"&gt;="&amp;DATE(2026,2,1),'Registro Incidencias'!B$5:B$200,"&lt;="&amp;DATE(2026,2+1,0),'Registro Incidencias'!S$5:S$200,"Adrián")</f>
        <v>0</v>
      </c>
      <c r="M31" s="39">
        <f>SUMIFS('Registro Incidencias'!AG$5:AG$200,'Registro Incidencias'!B$5:B$200,"&gt;="&amp;DATE(2026,2,1),'Registro Incidencias'!B$5:B$200,"&lt;="&amp;DATE(2026,2+1,0),'Registro Incidencias'!S$5:S$200,"Adrián")</f>
        <v>0</v>
      </c>
      <c r="N31" s="117">
        <f t="shared" si="6"/>
        <v>0</v>
      </c>
      <c r="O31" s="33">
        <f>SUMIFS('Registro Incidencias'!X$5:X$200,'Registro Incidencias'!B$5:B$200,"&gt;="&amp;DATE(2026,2,1),'Registro Incidencias'!B$5:B$200,"&lt;="&amp;DATE(2026,2+1,0),'Registro Incidencias'!S$5:S$200,"Adrián")</f>
        <v>0</v>
      </c>
      <c r="P31" s="41">
        <f>IFERROR(AVERAGEIFS('Registro Incidencias'!AO$5:AO$200,'Registro Incidencias'!B$5:B$200,"&gt;="&amp;DATE(2026,2,1),'Registro Incidencias'!B$5:B$200,"&lt;="&amp;DATE(2026,2+1,0),'Registro Incidencias'!S$5:S$200,"Adrián"),0)</f>
        <v>0</v>
      </c>
      <c r="Q31" s="107">
        <f t="shared" si="7"/>
        <v>0</v>
      </c>
      <c r="R31" s="41">
        <f>IFERROR(D31/DAY(DATE(2026,2+1,0)),0)</f>
        <v>0</v>
      </c>
    </row>
    <row r="32" spans="1:20" x14ac:dyDescent="0.25">
      <c r="A32" s="106" t="s">
        <v>268</v>
      </c>
      <c r="B32" s="106" t="s">
        <v>77</v>
      </c>
      <c r="C32" s="39">
        <v>15.8</v>
      </c>
      <c r="D32" s="33">
        <f>COUNTIFS('Registro Incidencias'!B$5:B$200,"&gt;="&amp;DATE(2026,3,1),'Registro Incidencias'!B$5:B$200,"&lt;="&amp;DATE(2026,3+1,0),'Registro Incidencias'!S$5:S$200,"Raúl")</f>
        <v>0</v>
      </c>
      <c r="E32" s="33">
        <f>COUNTIFS('Registro Incidencias'!B$5:B$200,"&gt;="&amp;DATE(2026,3,1),'Registro Incidencias'!B$5:B$200,"&lt;="&amp;DATE(2026,3+1,0),'Registro Incidencias'!S$5:S$200,"Raúl",'Registro Incidencias'!AK$5:AK$200,"*Resuelta*")+COUNTIFS('Registro Incidencias'!B$5:B$200,"&gt;="&amp;DATE(2026,3,1),'Registro Incidencias'!B$5:B$200,"&lt;="&amp;DATE(2026,3+1,0),'Registro Incidencias'!S$5:S$200,"Raúl",'Registro Incidencias'!AK$5:AK$200,"*Cerrada*")</f>
        <v>0</v>
      </c>
      <c r="F32" s="107">
        <f t="shared" si="5"/>
        <v>0</v>
      </c>
      <c r="G32" s="33">
        <f>COUNTIFS('Registro Incidencias'!B$5:B$200,"&gt;="&amp;DATE(2026,3,1),'Registro Incidencias'!B$5:B$200,"&lt;="&amp;DATE(2026,3+1,0),'Registro Incidencias'!S$5:S$200,"Raúl",'Registro Incidencias'!AD$5:AD$200,"&gt;1")</f>
        <v>0</v>
      </c>
      <c r="H32" s="33">
        <f>COUNTIFS('Registro Incidencias'!B$5:B$200,"&gt;="&amp;DATE(2026,3,1),'Registro Incidencias'!B$5:B$200,"&lt;="&amp;DATE(2026,3+1,0),'Registro Incidencias'!S$5:S$200,"Raúl",'Registro Incidencias'!AE$5:AE$200,"Fallo del técnico")</f>
        <v>0</v>
      </c>
      <c r="I32" s="33">
        <f>COUNTIFS('Registro Incidencias'!B$5:B$200,"&gt;="&amp;DATE(2026,3,1),'Registro Incidencias'!B$5:B$200,"&lt;="&amp;DATE(2026,3+1,0),'Registro Incidencias'!S$5:S$200,"Raúl",'Registro Incidencias'!AE$5:AE$200,"Falta de material")</f>
        <v>0</v>
      </c>
      <c r="J32" s="33">
        <f>COUNTIFS('Registro Incidencias'!B$5:B$200,"&gt;="&amp;DATE(2026,3,1),'Registro Incidencias'!B$5:B$200,"&lt;="&amp;DATE(2026,3+1,0),'Registro Incidencias'!S$5:S$200,"Raúl",'Registro Incidencias'!AE$5:AE$200,"Causa del cliente")</f>
        <v>0</v>
      </c>
      <c r="K32" s="39">
        <f>SUMIFS('Registro Incidencias'!AQ$5:AQ$200,'Registro Incidencias'!B$5:B$200,"&gt;="&amp;DATE(2026,3,1),'Registro Incidencias'!B$5:B$200,"&lt;="&amp;DATE(2026,3+1,0),'Registro Incidencias'!S$5:S$200,"Raúl")</f>
        <v>0</v>
      </c>
      <c r="L32" s="39">
        <f>SUMIFS('Registro Incidencias'!AR$5:AR$200,'Registro Incidencias'!B$5:B$200,"&gt;="&amp;DATE(2026,3,1),'Registro Incidencias'!B$5:B$200,"&lt;="&amp;DATE(2026,3+1,0),'Registro Incidencias'!S$5:S$200,"Raúl")</f>
        <v>0</v>
      </c>
      <c r="M32" s="39">
        <f>SUMIFS('Registro Incidencias'!AG$5:AG$200,'Registro Incidencias'!B$5:B$200,"&gt;="&amp;DATE(2026,3,1),'Registro Incidencias'!B$5:B$200,"&lt;="&amp;DATE(2026,3+1,0),'Registro Incidencias'!S$5:S$200,"Raúl")</f>
        <v>0</v>
      </c>
      <c r="N32" s="117">
        <f t="shared" si="6"/>
        <v>0</v>
      </c>
      <c r="O32" s="33">
        <f>SUMIFS('Registro Incidencias'!X$5:X$200,'Registro Incidencias'!B$5:B$200,"&gt;="&amp;DATE(2026,3,1),'Registro Incidencias'!B$5:B$200,"&lt;="&amp;DATE(2026,3+1,0),'Registro Incidencias'!S$5:S$200,"Raúl")</f>
        <v>0</v>
      </c>
      <c r="P32" s="41">
        <f>IFERROR(AVERAGEIFS('Registro Incidencias'!AO$5:AO$200,'Registro Incidencias'!B$5:B$200,"&gt;="&amp;DATE(2026,3,1),'Registro Incidencias'!B$5:B$200,"&lt;="&amp;DATE(2026,3+1,0),'Registro Incidencias'!S$5:S$200,"Raúl"),0)</f>
        <v>0</v>
      </c>
      <c r="Q32" s="107">
        <f t="shared" si="7"/>
        <v>0</v>
      </c>
      <c r="R32" s="41">
        <f>IFERROR(D32/DAY(DATE(2026,3+1,0)),0)</f>
        <v>0</v>
      </c>
    </row>
    <row r="33" spans="1:18" x14ac:dyDescent="0.25">
      <c r="A33" s="22"/>
      <c r="B33" s="108" t="s">
        <v>78</v>
      </c>
      <c r="C33" s="28">
        <v>17.5</v>
      </c>
      <c r="D33" s="22">
        <f>COUNTIFS('Registro Incidencias'!B$5:B$200,"&gt;="&amp;DATE(2026,3,1),'Registro Incidencias'!B$5:B$200,"&lt;="&amp;DATE(2026,3+1,0),'Registro Incidencias'!S$5:S$200,"Juan Luis")</f>
        <v>0</v>
      </c>
      <c r="E33" s="22">
        <f>COUNTIFS('Registro Incidencias'!B$5:B$200,"&gt;="&amp;DATE(2026,3,1),'Registro Incidencias'!B$5:B$200,"&lt;="&amp;DATE(2026,3+1,0),'Registro Incidencias'!S$5:S$200,"Juan Luis",'Registro Incidencias'!AK$5:AK$200,"*Resuelta*")+COUNTIFS('Registro Incidencias'!B$5:B$200,"&gt;="&amp;DATE(2026,3,1),'Registro Incidencias'!B$5:B$200,"&lt;="&amp;DATE(2026,3+1,0),'Registro Incidencias'!S$5:S$200,"Juan Luis",'Registro Incidencias'!AK$5:AK$200,"*Cerrada*")</f>
        <v>0</v>
      </c>
      <c r="F33" s="109">
        <f t="shared" si="5"/>
        <v>0</v>
      </c>
      <c r="G33" s="22">
        <f>COUNTIFS('Registro Incidencias'!B$5:B$200,"&gt;="&amp;DATE(2026,3,1),'Registro Incidencias'!B$5:B$200,"&lt;="&amp;DATE(2026,3+1,0),'Registro Incidencias'!S$5:S$200,"Juan Luis",'Registro Incidencias'!AD$5:AD$200,"&gt;1")</f>
        <v>0</v>
      </c>
      <c r="H33" s="22">
        <f>COUNTIFS('Registro Incidencias'!B$5:B$200,"&gt;="&amp;DATE(2026,3,1),'Registro Incidencias'!B$5:B$200,"&lt;="&amp;DATE(2026,3+1,0),'Registro Incidencias'!S$5:S$200,"Juan Luis",'Registro Incidencias'!AE$5:AE$200,"Fallo del técnico")</f>
        <v>0</v>
      </c>
      <c r="I33" s="22">
        <f>COUNTIFS('Registro Incidencias'!B$5:B$200,"&gt;="&amp;DATE(2026,3,1),'Registro Incidencias'!B$5:B$200,"&lt;="&amp;DATE(2026,3+1,0),'Registro Incidencias'!S$5:S$200,"Juan Luis",'Registro Incidencias'!AE$5:AE$200,"Falta de material")</f>
        <v>0</v>
      </c>
      <c r="J33" s="22">
        <f>COUNTIFS('Registro Incidencias'!B$5:B$200,"&gt;="&amp;DATE(2026,3,1),'Registro Incidencias'!B$5:B$200,"&lt;="&amp;DATE(2026,3+1,0),'Registro Incidencias'!S$5:S$200,"Juan Luis",'Registro Incidencias'!AE$5:AE$200,"Causa del cliente")</f>
        <v>0</v>
      </c>
      <c r="K33" s="28">
        <f>SUMIFS('Registro Incidencias'!AQ$5:AQ$200,'Registro Incidencias'!B$5:B$200,"&gt;="&amp;DATE(2026,3,1),'Registro Incidencias'!B$5:B$200,"&lt;="&amp;DATE(2026,3+1,0),'Registro Incidencias'!S$5:S$200,"Juan Luis")</f>
        <v>0</v>
      </c>
      <c r="L33" s="28">
        <f>SUMIFS('Registro Incidencias'!AR$5:AR$200,'Registro Incidencias'!B$5:B$200,"&gt;="&amp;DATE(2026,3,1),'Registro Incidencias'!B$5:B$200,"&lt;="&amp;DATE(2026,3+1,0),'Registro Incidencias'!S$5:S$200,"Juan Luis")</f>
        <v>0</v>
      </c>
      <c r="M33" s="28">
        <f>SUMIFS('Registro Incidencias'!AG$5:AG$200,'Registro Incidencias'!B$5:B$200,"&gt;="&amp;DATE(2026,3,1),'Registro Incidencias'!B$5:B$200,"&lt;="&amp;DATE(2026,3+1,0),'Registro Incidencias'!S$5:S$200,"Juan Luis")</f>
        <v>0</v>
      </c>
      <c r="N33" s="119">
        <f t="shared" si="6"/>
        <v>0</v>
      </c>
      <c r="O33" s="22">
        <f>SUMIFS('Registro Incidencias'!X$5:X$200,'Registro Incidencias'!B$5:B$200,"&gt;="&amp;DATE(2026,3,1),'Registro Incidencias'!B$5:B$200,"&lt;="&amp;DATE(2026,3+1,0),'Registro Incidencias'!S$5:S$200,"Juan Luis")</f>
        <v>0</v>
      </c>
      <c r="P33" s="30">
        <f>IFERROR(AVERAGEIFS('Registro Incidencias'!AO$5:AO$200,'Registro Incidencias'!B$5:B$200,"&gt;="&amp;DATE(2026,3,1),'Registro Incidencias'!B$5:B$200,"&lt;="&amp;DATE(2026,3+1,0),'Registro Incidencias'!S$5:S$200,"Juan Luis"),0)</f>
        <v>0</v>
      </c>
      <c r="Q33" s="109">
        <f t="shared" si="7"/>
        <v>0</v>
      </c>
      <c r="R33" s="30">
        <f>IFERROR(D33/DAY(DATE(2026,3+1,0)),0)</f>
        <v>0</v>
      </c>
    </row>
    <row r="34" spans="1:18" x14ac:dyDescent="0.25">
      <c r="A34" s="33"/>
      <c r="B34" s="106" t="s">
        <v>79</v>
      </c>
      <c r="C34" s="39">
        <v>13.5</v>
      </c>
      <c r="D34" s="33">
        <f>COUNTIFS('Registro Incidencias'!B$5:B$200,"&gt;="&amp;DATE(2026,3,1),'Registro Incidencias'!B$5:B$200,"&lt;="&amp;DATE(2026,3+1,0),'Registro Incidencias'!S$5:S$200,"Paco")</f>
        <v>0</v>
      </c>
      <c r="E34" s="33">
        <f>COUNTIFS('Registro Incidencias'!B$5:B$200,"&gt;="&amp;DATE(2026,3,1),'Registro Incidencias'!B$5:B$200,"&lt;="&amp;DATE(2026,3+1,0),'Registro Incidencias'!S$5:S$200,"Paco",'Registro Incidencias'!AK$5:AK$200,"*Resuelta*")+COUNTIFS('Registro Incidencias'!B$5:B$200,"&gt;="&amp;DATE(2026,3,1),'Registro Incidencias'!B$5:B$200,"&lt;="&amp;DATE(2026,3+1,0),'Registro Incidencias'!S$5:S$200,"Paco",'Registro Incidencias'!AK$5:AK$200,"*Cerrada*")</f>
        <v>0</v>
      </c>
      <c r="F34" s="107">
        <f t="shared" si="5"/>
        <v>0</v>
      </c>
      <c r="G34" s="33">
        <f>COUNTIFS('Registro Incidencias'!B$5:B$200,"&gt;="&amp;DATE(2026,3,1),'Registro Incidencias'!B$5:B$200,"&lt;="&amp;DATE(2026,3+1,0),'Registro Incidencias'!S$5:S$200,"Paco",'Registro Incidencias'!AD$5:AD$200,"&gt;1")</f>
        <v>0</v>
      </c>
      <c r="H34" s="33">
        <f>COUNTIFS('Registro Incidencias'!B$5:B$200,"&gt;="&amp;DATE(2026,3,1),'Registro Incidencias'!B$5:B$200,"&lt;="&amp;DATE(2026,3+1,0),'Registro Incidencias'!S$5:S$200,"Paco",'Registro Incidencias'!AE$5:AE$200,"Fallo del técnico")</f>
        <v>0</v>
      </c>
      <c r="I34" s="33">
        <f>COUNTIFS('Registro Incidencias'!B$5:B$200,"&gt;="&amp;DATE(2026,3,1),'Registro Incidencias'!B$5:B$200,"&lt;="&amp;DATE(2026,3+1,0),'Registro Incidencias'!S$5:S$200,"Paco",'Registro Incidencias'!AE$5:AE$200,"Falta de material")</f>
        <v>0</v>
      </c>
      <c r="J34" s="33">
        <f>COUNTIFS('Registro Incidencias'!B$5:B$200,"&gt;="&amp;DATE(2026,3,1),'Registro Incidencias'!B$5:B$200,"&lt;="&amp;DATE(2026,3+1,0),'Registro Incidencias'!S$5:S$200,"Paco",'Registro Incidencias'!AE$5:AE$200,"Causa del cliente")</f>
        <v>0</v>
      </c>
      <c r="K34" s="39">
        <f>SUMIFS('Registro Incidencias'!AQ$5:AQ$200,'Registro Incidencias'!B$5:B$200,"&gt;="&amp;DATE(2026,3,1),'Registro Incidencias'!B$5:B$200,"&lt;="&amp;DATE(2026,3+1,0),'Registro Incidencias'!S$5:S$200,"Paco")</f>
        <v>0</v>
      </c>
      <c r="L34" s="39">
        <f>SUMIFS('Registro Incidencias'!AR$5:AR$200,'Registro Incidencias'!B$5:B$200,"&gt;="&amp;DATE(2026,3,1),'Registro Incidencias'!B$5:B$200,"&lt;="&amp;DATE(2026,3+1,0),'Registro Incidencias'!S$5:S$200,"Paco")</f>
        <v>0</v>
      </c>
      <c r="M34" s="39">
        <f>SUMIFS('Registro Incidencias'!AG$5:AG$200,'Registro Incidencias'!B$5:B$200,"&gt;="&amp;DATE(2026,3,1),'Registro Incidencias'!B$5:B$200,"&lt;="&amp;DATE(2026,3+1,0),'Registro Incidencias'!S$5:S$200,"Paco")</f>
        <v>0</v>
      </c>
      <c r="N34" s="117">
        <f t="shared" si="6"/>
        <v>0</v>
      </c>
      <c r="O34" s="33">
        <f>SUMIFS('Registro Incidencias'!X$5:X$200,'Registro Incidencias'!B$5:B$200,"&gt;="&amp;DATE(2026,3,1),'Registro Incidencias'!B$5:B$200,"&lt;="&amp;DATE(2026,3+1,0),'Registro Incidencias'!S$5:S$200,"Paco")</f>
        <v>0</v>
      </c>
      <c r="P34" s="41">
        <f>IFERROR(AVERAGEIFS('Registro Incidencias'!AO$5:AO$200,'Registro Incidencias'!B$5:B$200,"&gt;="&amp;DATE(2026,3,1),'Registro Incidencias'!B$5:B$200,"&lt;="&amp;DATE(2026,3+1,0),'Registro Incidencias'!S$5:S$200,"Paco"),0)</f>
        <v>0</v>
      </c>
      <c r="Q34" s="107">
        <f t="shared" si="7"/>
        <v>0</v>
      </c>
      <c r="R34" s="41">
        <f>IFERROR(D34/DAY(DATE(2026,3+1,0)),0)</f>
        <v>0</v>
      </c>
    </row>
    <row r="35" spans="1:18" x14ac:dyDescent="0.25">
      <c r="A35" s="22"/>
      <c r="B35" s="108" t="s">
        <v>80</v>
      </c>
      <c r="C35" s="28">
        <v>18.899999999999999</v>
      </c>
      <c r="D35" s="22">
        <f>COUNTIFS('Registro Incidencias'!B$5:B$200,"&gt;="&amp;DATE(2026,3,1),'Registro Incidencias'!B$5:B$200,"&lt;="&amp;DATE(2026,3+1,0),'Registro Incidencias'!S$5:S$200,"Juan Manuel")</f>
        <v>0</v>
      </c>
      <c r="E35" s="22">
        <f>COUNTIFS('Registro Incidencias'!B$5:B$200,"&gt;="&amp;DATE(2026,3,1),'Registro Incidencias'!B$5:B$200,"&lt;="&amp;DATE(2026,3+1,0),'Registro Incidencias'!S$5:S$200,"Juan Manuel",'Registro Incidencias'!AK$5:AK$200,"*Resuelta*")+COUNTIFS('Registro Incidencias'!B$5:B$200,"&gt;="&amp;DATE(2026,3,1),'Registro Incidencias'!B$5:B$200,"&lt;="&amp;DATE(2026,3+1,0),'Registro Incidencias'!S$5:S$200,"Juan Manuel",'Registro Incidencias'!AK$5:AK$200,"*Cerrada*")</f>
        <v>0</v>
      </c>
      <c r="F35" s="109">
        <f t="shared" si="5"/>
        <v>0</v>
      </c>
      <c r="G35" s="22">
        <f>COUNTIFS('Registro Incidencias'!B$5:B$200,"&gt;="&amp;DATE(2026,3,1),'Registro Incidencias'!B$5:B$200,"&lt;="&amp;DATE(2026,3+1,0),'Registro Incidencias'!S$5:S$200,"Juan Manuel",'Registro Incidencias'!AD$5:AD$200,"&gt;1")</f>
        <v>0</v>
      </c>
      <c r="H35" s="22">
        <f>COUNTIFS('Registro Incidencias'!B$5:B$200,"&gt;="&amp;DATE(2026,3,1),'Registro Incidencias'!B$5:B$200,"&lt;="&amp;DATE(2026,3+1,0),'Registro Incidencias'!S$5:S$200,"Juan Manuel",'Registro Incidencias'!AE$5:AE$200,"Fallo del técnico")</f>
        <v>0</v>
      </c>
      <c r="I35" s="22">
        <f>COUNTIFS('Registro Incidencias'!B$5:B$200,"&gt;="&amp;DATE(2026,3,1),'Registro Incidencias'!B$5:B$200,"&lt;="&amp;DATE(2026,3+1,0),'Registro Incidencias'!S$5:S$200,"Juan Manuel",'Registro Incidencias'!AE$5:AE$200,"Falta de material")</f>
        <v>0</v>
      </c>
      <c r="J35" s="22">
        <f>COUNTIFS('Registro Incidencias'!B$5:B$200,"&gt;="&amp;DATE(2026,3,1),'Registro Incidencias'!B$5:B$200,"&lt;="&amp;DATE(2026,3+1,0),'Registro Incidencias'!S$5:S$200,"Juan Manuel",'Registro Incidencias'!AE$5:AE$200,"Causa del cliente")</f>
        <v>0</v>
      </c>
      <c r="K35" s="28">
        <f>SUMIFS('Registro Incidencias'!AQ$5:AQ$200,'Registro Incidencias'!B$5:B$200,"&gt;="&amp;DATE(2026,3,1),'Registro Incidencias'!B$5:B$200,"&lt;="&amp;DATE(2026,3+1,0),'Registro Incidencias'!S$5:S$200,"Juan Manuel")</f>
        <v>0</v>
      </c>
      <c r="L35" s="28">
        <f>SUMIFS('Registro Incidencias'!AR$5:AR$200,'Registro Incidencias'!B$5:B$200,"&gt;="&amp;DATE(2026,3,1),'Registro Incidencias'!B$5:B$200,"&lt;="&amp;DATE(2026,3+1,0),'Registro Incidencias'!S$5:S$200,"Juan Manuel")</f>
        <v>0</v>
      </c>
      <c r="M35" s="28">
        <f>SUMIFS('Registro Incidencias'!AG$5:AG$200,'Registro Incidencias'!B$5:B$200,"&gt;="&amp;DATE(2026,3,1),'Registro Incidencias'!B$5:B$200,"&lt;="&amp;DATE(2026,3+1,0),'Registro Incidencias'!S$5:S$200,"Juan Manuel")</f>
        <v>0</v>
      </c>
      <c r="N35" s="119">
        <f t="shared" si="6"/>
        <v>0</v>
      </c>
      <c r="O35" s="22">
        <f>SUMIFS('Registro Incidencias'!X$5:X$200,'Registro Incidencias'!B$5:B$200,"&gt;="&amp;DATE(2026,3,1),'Registro Incidencias'!B$5:B$200,"&lt;="&amp;DATE(2026,3+1,0),'Registro Incidencias'!S$5:S$200,"Juan Manuel")</f>
        <v>0</v>
      </c>
      <c r="P35" s="30">
        <f>IFERROR(AVERAGEIFS('Registro Incidencias'!AO$5:AO$200,'Registro Incidencias'!B$5:B$200,"&gt;="&amp;DATE(2026,3,1),'Registro Incidencias'!B$5:B$200,"&lt;="&amp;DATE(2026,3+1,0),'Registro Incidencias'!S$5:S$200,"Juan Manuel"),0)</f>
        <v>0</v>
      </c>
      <c r="Q35" s="109">
        <f t="shared" si="7"/>
        <v>0</v>
      </c>
      <c r="R35" s="30">
        <f>IFERROR(D35/DAY(DATE(2026,3+1,0)),0)</f>
        <v>0</v>
      </c>
    </row>
    <row r="36" spans="1:18" x14ac:dyDescent="0.25">
      <c r="A36" s="33"/>
      <c r="B36" s="106" t="s">
        <v>81</v>
      </c>
      <c r="C36" s="39">
        <v>13.5</v>
      </c>
      <c r="D36" s="33">
        <f>COUNTIFS('Registro Incidencias'!B$5:B$200,"&gt;="&amp;DATE(2026,3,1),'Registro Incidencias'!B$5:B$200,"&lt;="&amp;DATE(2026,3+1,0),'Registro Incidencias'!S$5:S$200,"Adrián")</f>
        <v>0</v>
      </c>
      <c r="E36" s="33">
        <f>COUNTIFS('Registro Incidencias'!B$5:B$200,"&gt;="&amp;DATE(2026,3,1),'Registro Incidencias'!B$5:B$200,"&lt;="&amp;DATE(2026,3+1,0),'Registro Incidencias'!S$5:S$200,"Adrián",'Registro Incidencias'!AK$5:AK$200,"*Resuelta*")+COUNTIFS('Registro Incidencias'!B$5:B$200,"&gt;="&amp;DATE(2026,3,1),'Registro Incidencias'!B$5:B$200,"&lt;="&amp;DATE(2026,3+1,0),'Registro Incidencias'!S$5:S$200,"Adrián",'Registro Incidencias'!AK$5:AK$200,"*Cerrada*")</f>
        <v>0</v>
      </c>
      <c r="F36" s="107">
        <f t="shared" si="5"/>
        <v>0</v>
      </c>
      <c r="G36" s="33">
        <f>COUNTIFS('Registro Incidencias'!B$5:B$200,"&gt;="&amp;DATE(2026,3,1),'Registro Incidencias'!B$5:B$200,"&lt;="&amp;DATE(2026,3+1,0),'Registro Incidencias'!S$5:S$200,"Adrián",'Registro Incidencias'!AD$5:AD$200,"&gt;1")</f>
        <v>0</v>
      </c>
      <c r="H36" s="33">
        <f>COUNTIFS('Registro Incidencias'!B$5:B$200,"&gt;="&amp;DATE(2026,3,1),'Registro Incidencias'!B$5:B$200,"&lt;="&amp;DATE(2026,3+1,0),'Registro Incidencias'!S$5:S$200,"Adrián",'Registro Incidencias'!AE$5:AE$200,"Fallo del técnico")</f>
        <v>0</v>
      </c>
      <c r="I36" s="33">
        <f>COUNTIFS('Registro Incidencias'!B$5:B$200,"&gt;="&amp;DATE(2026,3,1),'Registro Incidencias'!B$5:B$200,"&lt;="&amp;DATE(2026,3+1,0),'Registro Incidencias'!S$5:S$200,"Adrián",'Registro Incidencias'!AE$5:AE$200,"Falta de material")</f>
        <v>0</v>
      </c>
      <c r="J36" s="33">
        <f>COUNTIFS('Registro Incidencias'!B$5:B$200,"&gt;="&amp;DATE(2026,3,1),'Registro Incidencias'!B$5:B$200,"&lt;="&amp;DATE(2026,3+1,0),'Registro Incidencias'!S$5:S$200,"Adrián",'Registro Incidencias'!AE$5:AE$200,"Causa del cliente")</f>
        <v>0</v>
      </c>
      <c r="K36" s="39">
        <f>SUMIFS('Registro Incidencias'!AQ$5:AQ$200,'Registro Incidencias'!B$5:B$200,"&gt;="&amp;DATE(2026,3,1),'Registro Incidencias'!B$5:B$200,"&lt;="&amp;DATE(2026,3+1,0),'Registro Incidencias'!S$5:S$200,"Adrián")</f>
        <v>0</v>
      </c>
      <c r="L36" s="39">
        <f>SUMIFS('Registro Incidencias'!AR$5:AR$200,'Registro Incidencias'!B$5:B$200,"&gt;="&amp;DATE(2026,3,1),'Registro Incidencias'!B$5:B$200,"&lt;="&amp;DATE(2026,3+1,0),'Registro Incidencias'!S$5:S$200,"Adrián")</f>
        <v>0</v>
      </c>
      <c r="M36" s="39">
        <f>SUMIFS('Registro Incidencias'!AG$5:AG$200,'Registro Incidencias'!B$5:B$200,"&gt;="&amp;DATE(2026,3,1),'Registro Incidencias'!B$5:B$200,"&lt;="&amp;DATE(2026,3+1,0),'Registro Incidencias'!S$5:S$200,"Adrián")</f>
        <v>0</v>
      </c>
      <c r="N36" s="117">
        <f t="shared" si="6"/>
        <v>0</v>
      </c>
      <c r="O36" s="33">
        <f>SUMIFS('Registro Incidencias'!X$5:X$200,'Registro Incidencias'!B$5:B$200,"&gt;="&amp;DATE(2026,3,1),'Registro Incidencias'!B$5:B$200,"&lt;="&amp;DATE(2026,3+1,0),'Registro Incidencias'!S$5:S$200,"Adrián")</f>
        <v>0</v>
      </c>
      <c r="P36" s="41">
        <f>IFERROR(AVERAGEIFS('Registro Incidencias'!AO$5:AO$200,'Registro Incidencias'!B$5:B$200,"&gt;="&amp;DATE(2026,3,1),'Registro Incidencias'!B$5:B$200,"&lt;="&amp;DATE(2026,3+1,0),'Registro Incidencias'!S$5:S$200,"Adrián"),0)</f>
        <v>0</v>
      </c>
      <c r="Q36" s="107">
        <f t="shared" si="7"/>
        <v>0</v>
      </c>
      <c r="R36" s="41">
        <f>IFERROR(D36/DAY(DATE(2026,3+1,0)),0)</f>
        <v>0</v>
      </c>
    </row>
    <row r="37" spans="1:18" x14ac:dyDescent="0.25">
      <c r="A37" s="106" t="s">
        <v>269</v>
      </c>
      <c r="B37" s="106" t="s">
        <v>77</v>
      </c>
      <c r="C37" s="39">
        <v>15.8</v>
      </c>
      <c r="D37" s="33">
        <f>COUNTIFS('Registro Incidencias'!B$5:B$200,"&gt;="&amp;DATE(2026,4,1),'Registro Incidencias'!B$5:B$200,"&lt;="&amp;DATE(2026,4+1,0),'Registro Incidencias'!S$5:S$200,"Raúl")</f>
        <v>0</v>
      </c>
      <c r="E37" s="33">
        <f>COUNTIFS('Registro Incidencias'!B$5:B$200,"&gt;="&amp;DATE(2026,4,1),'Registro Incidencias'!B$5:B$200,"&lt;="&amp;DATE(2026,4+1,0),'Registro Incidencias'!S$5:S$200,"Raúl",'Registro Incidencias'!AK$5:AK$200,"*Resuelta*")+COUNTIFS('Registro Incidencias'!B$5:B$200,"&gt;="&amp;DATE(2026,4,1),'Registro Incidencias'!B$5:B$200,"&lt;="&amp;DATE(2026,4+1,0),'Registro Incidencias'!S$5:S$200,"Raúl",'Registro Incidencias'!AK$5:AK$200,"*Cerrada*")</f>
        <v>0</v>
      </c>
      <c r="F37" s="107">
        <f t="shared" si="5"/>
        <v>0</v>
      </c>
      <c r="G37" s="33">
        <f>COUNTIFS('Registro Incidencias'!B$5:B$200,"&gt;="&amp;DATE(2026,4,1),'Registro Incidencias'!B$5:B$200,"&lt;="&amp;DATE(2026,4+1,0),'Registro Incidencias'!S$5:S$200,"Raúl",'Registro Incidencias'!AD$5:AD$200,"&gt;1")</f>
        <v>0</v>
      </c>
      <c r="H37" s="33">
        <f>COUNTIFS('Registro Incidencias'!B$5:B$200,"&gt;="&amp;DATE(2026,4,1),'Registro Incidencias'!B$5:B$200,"&lt;="&amp;DATE(2026,4+1,0),'Registro Incidencias'!S$5:S$200,"Raúl",'Registro Incidencias'!AE$5:AE$200,"Fallo del técnico")</f>
        <v>0</v>
      </c>
      <c r="I37" s="33">
        <f>COUNTIFS('Registro Incidencias'!B$5:B$200,"&gt;="&amp;DATE(2026,4,1),'Registro Incidencias'!B$5:B$200,"&lt;="&amp;DATE(2026,4+1,0),'Registro Incidencias'!S$5:S$200,"Raúl",'Registro Incidencias'!AE$5:AE$200,"Falta de material")</f>
        <v>0</v>
      </c>
      <c r="J37" s="33">
        <f>COUNTIFS('Registro Incidencias'!B$5:B$200,"&gt;="&amp;DATE(2026,4,1),'Registro Incidencias'!B$5:B$200,"&lt;="&amp;DATE(2026,4+1,0),'Registro Incidencias'!S$5:S$200,"Raúl",'Registro Incidencias'!AE$5:AE$200,"Causa del cliente")</f>
        <v>0</v>
      </c>
      <c r="K37" s="39">
        <f>SUMIFS('Registro Incidencias'!AQ$5:AQ$200,'Registro Incidencias'!B$5:B$200,"&gt;="&amp;DATE(2026,4,1),'Registro Incidencias'!B$5:B$200,"&lt;="&amp;DATE(2026,4+1,0),'Registro Incidencias'!S$5:S$200,"Raúl")</f>
        <v>0</v>
      </c>
      <c r="L37" s="39">
        <f>SUMIFS('Registro Incidencias'!AR$5:AR$200,'Registro Incidencias'!B$5:B$200,"&gt;="&amp;DATE(2026,4,1),'Registro Incidencias'!B$5:B$200,"&lt;="&amp;DATE(2026,4+1,0),'Registro Incidencias'!S$5:S$200,"Raúl")</f>
        <v>0</v>
      </c>
      <c r="M37" s="39">
        <f>SUMIFS('Registro Incidencias'!AG$5:AG$200,'Registro Incidencias'!B$5:B$200,"&gt;="&amp;DATE(2026,4,1),'Registro Incidencias'!B$5:B$200,"&lt;="&amp;DATE(2026,4+1,0),'Registro Incidencias'!S$5:S$200,"Raúl")</f>
        <v>0</v>
      </c>
      <c r="N37" s="117">
        <f t="shared" si="6"/>
        <v>0</v>
      </c>
      <c r="O37" s="33">
        <f>SUMIFS('Registro Incidencias'!X$5:X$200,'Registro Incidencias'!B$5:B$200,"&gt;="&amp;DATE(2026,4,1),'Registro Incidencias'!B$5:B$200,"&lt;="&amp;DATE(2026,4+1,0),'Registro Incidencias'!S$5:S$200,"Raúl")</f>
        <v>0</v>
      </c>
      <c r="P37" s="41">
        <f>IFERROR(AVERAGEIFS('Registro Incidencias'!AO$5:AO$200,'Registro Incidencias'!B$5:B$200,"&gt;="&amp;DATE(2026,4,1),'Registro Incidencias'!B$5:B$200,"&lt;="&amp;DATE(2026,4+1,0),'Registro Incidencias'!S$5:S$200,"Raúl"),0)</f>
        <v>0</v>
      </c>
      <c r="Q37" s="107">
        <f t="shared" si="7"/>
        <v>0</v>
      </c>
      <c r="R37" s="41">
        <f>IFERROR(D37/DAY(DATE(2026,4+1,0)),0)</f>
        <v>0</v>
      </c>
    </row>
    <row r="38" spans="1:18" x14ac:dyDescent="0.25">
      <c r="A38" s="22"/>
      <c r="B38" s="108" t="s">
        <v>78</v>
      </c>
      <c r="C38" s="28">
        <v>17.5</v>
      </c>
      <c r="D38" s="22">
        <f>COUNTIFS('Registro Incidencias'!B$5:B$200,"&gt;="&amp;DATE(2026,4,1),'Registro Incidencias'!B$5:B$200,"&lt;="&amp;DATE(2026,4+1,0),'Registro Incidencias'!S$5:S$200,"Juan Luis")</f>
        <v>0</v>
      </c>
      <c r="E38" s="22">
        <f>COUNTIFS('Registro Incidencias'!B$5:B$200,"&gt;="&amp;DATE(2026,4,1),'Registro Incidencias'!B$5:B$200,"&lt;="&amp;DATE(2026,4+1,0),'Registro Incidencias'!S$5:S$200,"Juan Luis",'Registro Incidencias'!AK$5:AK$200,"*Resuelta*")+COUNTIFS('Registro Incidencias'!B$5:B$200,"&gt;="&amp;DATE(2026,4,1),'Registro Incidencias'!B$5:B$200,"&lt;="&amp;DATE(2026,4+1,0),'Registro Incidencias'!S$5:S$200,"Juan Luis",'Registro Incidencias'!AK$5:AK$200,"*Cerrada*")</f>
        <v>0</v>
      </c>
      <c r="F38" s="109">
        <f t="shared" si="5"/>
        <v>0</v>
      </c>
      <c r="G38" s="22">
        <f>COUNTIFS('Registro Incidencias'!B$5:B$200,"&gt;="&amp;DATE(2026,4,1),'Registro Incidencias'!B$5:B$200,"&lt;="&amp;DATE(2026,4+1,0),'Registro Incidencias'!S$5:S$200,"Juan Luis",'Registro Incidencias'!AD$5:AD$200,"&gt;1")</f>
        <v>0</v>
      </c>
      <c r="H38" s="22">
        <f>COUNTIFS('Registro Incidencias'!B$5:B$200,"&gt;="&amp;DATE(2026,4,1),'Registro Incidencias'!B$5:B$200,"&lt;="&amp;DATE(2026,4+1,0),'Registro Incidencias'!S$5:S$200,"Juan Luis",'Registro Incidencias'!AE$5:AE$200,"Fallo del técnico")</f>
        <v>0</v>
      </c>
      <c r="I38" s="22">
        <f>COUNTIFS('Registro Incidencias'!B$5:B$200,"&gt;="&amp;DATE(2026,4,1),'Registro Incidencias'!B$5:B$200,"&lt;="&amp;DATE(2026,4+1,0),'Registro Incidencias'!S$5:S$200,"Juan Luis",'Registro Incidencias'!AE$5:AE$200,"Falta de material")</f>
        <v>0</v>
      </c>
      <c r="J38" s="22">
        <f>COUNTIFS('Registro Incidencias'!B$5:B$200,"&gt;="&amp;DATE(2026,4,1),'Registro Incidencias'!B$5:B$200,"&lt;="&amp;DATE(2026,4+1,0),'Registro Incidencias'!S$5:S$200,"Juan Luis",'Registro Incidencias'!AE$5:AE$200,"Causa del cliente")</f>
        <v>0</v>
      </c>
      <c r="K38" s="28">
        <f>SUMIFS('Registro Incidencias'!AQ$5:AQ$200,'Registro Incidencias'!B$5:B$200,"&gt;="&amp;DATE(2026,4,1),'Registro Incidencias'!B$5:B$200,"&lt;="&amp;DATE(2026,4+1,0),'Registro Incidencias'!S$5:S$200,"Juan Luis")</f>
        <v>0</v>
      </c>
      <c r="L38" s="28">
        <f>SUMIFS('Registro Incidencias'!AR$5:AR$200,'Registro Incidencias'!B$5:B$200,"&gt;="&amp;DATE(2026,4,1),'Registro Incidencias'!B$5:B$200,"&lt;="&amp;DATE(2026,4+1,0),'Registro Incidencias'!S$5:S$200,"Juan Luis")</f>
        <v>0</v>
      </c>
      <c r="M38" s="28">
        <f>SUMIFS('Registro Incidencias'!AG$5:AG$200,'Registro Incidencias'!B$5:B$200,"&gt;="&amp;DATE(2026,4,1),'Registro Incidencias'!B$5:B$200,"&lt;="&amp;DATE(2026,4+1,0),'Registro Incidencias'!S$5:S$200,"Juan Luis")</f>
        <v>0</v>
      </c>
      <c r="N38" s="119">
        <f t="shared" si="6"/>
        <v>0</v>
      </c>
      <c r="O38" s="22">
        <f>SUMIFS('Registro Incidencias'!X$5:X$200,'Registro Incidencias'!B$5:B$200,"&gt;="&amp;DATE(2026,4,1),'Registro Incidencias'!B$5:B$200,"&lt;="&amp;DATE(2026,4+1,0),'Registro Incidencias'!S$5:S$200,"Juan Luis")</f>
        <v>0</v>
      </c>
      <c r="P38" s="30">
        <f>IFERROR(AVERAGEIFS('Registro Incidencias'!AO$5:AO$200,'Registro Incidencias'!B$5:B$200,"&gt;="&amp;DATE(2026,4,1),'Registro Incidencias'!B$5:B$200,"&lt;="&amp;DATE(2026,4+1,0),'Registro Incidencias'!S$5:S$200,"Juan Luis"),0)</f>
        <v>0</v>
      </c>
      <c r="Q38" s="109">
        <f t="shared" si="7"/>
        <v>0</v>
      </c>
      <c r="R38" s="30">
        <f>IFERROR(D38/DAY(DATE(2026,4+1,0)),0)</f>
        <v>0</v>
      </c>
    </row>
    <row r="39" spans="1:18" x14ac:dyDescent="0.25">
      <c r="A39" s="33"/>
      <c r="B39" s="106" t="s">
        <v>79</v>
      </c>
      <c r="C39" s="39">
        <v>13.5</v>
      </c>
      <c r="D39" s="33">
        <f>COUNTIFS('Registro Incidencias'!B$5:B$200,"&gt;="&amp;DATE(2026,4,1),'Registro Incidencias'!B$5:B$200,"&lt;="&amp;DATE(2026,4+1,0),'Registro Incidencias'!S$5:S$200,"Paco")</f>
        <v>0</v>
      </c>
      <c r="E39" s="33">
        <f>COUNTIFS('Registro Incidencias'!B$5:B$200,"&gt;="&amp;DATE(2026,4,1),'Registro Incidencias'!B$5:B$200,"&lt;="&amp;DATE(2026,4+1,0),'Registro Incidencias'!S$5:S$200,"Paco",'Registro Incidencias'!AK$5:AK$200,"*Resuelta*")+COUNTIFS('Registro Incidencias'!B$5:B$200,"&gt;="&amp;DATE(2026,4,1),'Registro Incidencias'!B$5:B$200,"&lt;="&amp;DATE(2026,4+1,0),'Registro Incidencias'!S$5:S$200,"Paco",'Registro Incidencias'!AK$5:AK$200,"*Cerrada*")</f>
        <v>0</v>
      </c>
      <c r="F39" s="107">
        <f t="shared" si="5"/>
        <v>0</v>
      </c>
      <c r="G39" s="33">
        <f>COUNTIFS('Registro Incidencias'!B$5:B$200,"&gt;="&amp;DATE(2026,4,1),'Registro Incidencias'!B$5:B$200,"&lt;="&amp;DATE(2026,4+1,0),'Registro Incidencias'!S$5:S$200,"Paco",'Registro Incidencias'!AD$5:AD$200,"&gt;1")</f>
        <v>0</v>
      </c>
      <c r="H39" s="33">
        <f>COUNTIFS('Registro Incidencias'!B$5:B$200,"&gt;="&amp;DATE(2026,4,1),'Registro Incidencias'!B$5:B$200,"&lt;="&amp;DATE(2026,4+1,0),'Registro Incidencias'!S$5:S$200,"Paco",'Registro Incidencias'!AE$5:AE$200,"Fallo del técnico")</f>
        <v>0</v>
      </c>
      <c r="I39" s="33">
        <f>COUNTIFS('Registro Incidencias'!B$5:B$200,"&gt;="&amp;DATE(2026,4,1),'Registro Incidencias'!B$5:B$200,"&lt;="&amp;DATE(2026,4+1,0),'Registro Incidencias'!S$5:S$200,"Paco",'Registro Incidencias'!AE$5:AE$200,"Falta de material")</f>
        <v>0</v>
      </c>
      <c r="J39" s="33">
        <f>COUNTIFS('Registro Incidencias'!B$5:B$200,"&gt;="&amp;DATE(2026,4,1),'Registro Incidencias'!B$5:B$200,"&lt;="&amp;DATE(2026,4+1,0),'Registro Incidencias'!S$5:S$200,"Paco",'Registro Incidencias'!AE$5:AE$200,"Causa del cliente")</f>
        <v>0</v>
      </c>
      <c r="K39" s="39">
        <f>SUMIFS('Registro Incidencias'!AQ$5:AQ$200,'Registro Incidencias'!B$5:B$200,"&gt;="&amp;DATE(2026,4,1),'Registro Incidencias'!B$5:B$200,"&lt;="&amp;DATE(2026,4+1,0),'Registro Incidencias'!S$5:S$200,"Paco")</f>
        <v>0</v>
      </c>
      <c r="L39" s="39">
        <f>SUMIFS('Registro Incidencias'!AR$5:AR$200,'Registro Incidencias'!B$5:B$200,"&gt;="&amp;DATE(2026,4,1),'Registro Incidencias'!B$5:B$200,"&lt;="&amp;DATE(2026,4+1,0),'Registro Incidencias'!S$5:S$200,"Paco")</f>
        <v>0</v>
      </c>
      <c r="M39" s="39">
        <f>SUMIFS('Registro Incidencias'!AG$5:AG$200,'Registro Incidencias'!B$5:B$200,"&gt;="&amp;DATE(2026,4,1),'Registro Incidencias'!B$5:B$200,"&lt;="&amp;DATE(2026,4+1,0),'Registro Incidencias'!S$5:S$200,"Paco")</f>
        <v>0</v>
      </c>
      <c r="N39" s="117">
        <f t="shared" si="6"/>
        <v>0</v>
      </c>
      <c r="O39" s="33">
        <f>SUMIFS('Registro Incidencias'!X$5:X$200,'Registro Incidencias'!B$5:B$200,"&gt;="&amp;DATE(2026,4,1),'Registro Incidencias'!B$5:B$200,"&lt;="&amp;DATE(2026,4+1,0),'Registro Incidencias'!S$5:S$200,"Paco")</f>
        <v>0</v>
      </c>
      <c r="P39" s="41">
        <f>IFERROR(AVERAGEIFS('Registro Incidencias'!AO$5:AO$200,'Registro Incidencias'!B$5:B$200,"&gt;="&amp;DATE(2026,4,1),'Registro Incidencias'!B$5:B$200,"&lt;="&amp;DATE(2026,4+1,0),'Registro Incidencias'!S$5:S$200,"Paco"),0)</f>
        <v>0</v>
      </c>
      <c r="Q39" s="107">
        <f t="shared" si="7"/>
        <v>0</v>
      </c>
      <c r="R39" s="41">
        <f>IFERROR(D39/DAY(DATE(2026,4+1,0)),0)</f>
        <v>0</v>
      </c>
    </row>
    <row r="40" spans="1:18" x14ac:dyDescent="0.25">
      <c r="A40" s="22"/>
      <c r="B40" s="108" t="s">
        <v>80</v>
      </c>
      <c r="C40" s="28">
        <v>18.899999999999999</v>
      </c>
      <c r="D40" s="22">
        <f>COUNTIFS('Registro Incidencias'!B$5:B$200,"&gt;="&amp;DATE(2026,4,1),'Registro Incidencias'!B$5:B$200,"&lt;="&amp;DATE(2026,4+1,0),'Registro Incidencias'!S$5:S$200,"Juan Manuel")</f>
        <v>0</v>
      </c>
      <c r="E40" s="22">
        <f>COUNTIFS('Registro Incidencias'!B$5:B$200,"&gt;="&amp;DATE(2026,4,1),'Registro Incidencias'!B$5:B$200,"&lt;="&amp;DATE(2026,4+1,0),'Registro Incidencias'!S$5:S$200,"Juan Manuel",'Registro Incidencias'!AK$5:AK$200,"*Resuelta*")+COUNTIFS('Registro Incidencias'!B$5:B$200,"&gt;="&amp;DATE(2026,4,1),'Registro Incidencias'!B$5:B$200,"&lt;="&amp;DATE(2026,4+1,0),'Registro Incidencias'!S$5:S$200,"Juan Manuel",'Registro Incidencias'!AK$5:AK$200,"*Cerrada*")</f>
        <v>0</v>
      </c>
      <c r="F40" s="109">
        <f t="shared" si="5"/>
        <v>0</v>
      </c>
      <c r="G40" s="22">
        <f>COUNTIFS('Registro Incidencias'!B$5:B$200,"&gt;="&amp;DATE(2026,4,1),'Registro Incidencias'!B$5:B$200,"&lt;="&amp;DATE(2026,4+1,0),'Registro Incidencias'!S$5:S$200,"Juan Manuel",'Registro Incidencias'!AD$5:AD$200,"&gt;1")</f>
        <v>0</v>
      </c>
      <c r="H40" s="22">
        <f>COUNTIFS('Registro Incidencias'!B$5:B$200,"&gt;="&amp;DATE(2026,4,1),'Registro Incidencias'!B$5:B$200,"&lt;="&amp;DATE(2026,4+1,0),'Registro Incidencias'!S$5:S$200,"Juan Manuel",'Registro Incidencias'!AE$5:AE$200,"Fallo del técnico")</f>
        <v>0</v>
      </c>
      <c r="I40" s="22">
        <f>COUNTIFS('Registro Incidencias'!B$5:B$200,"&gt;="&amp;DATE(2026,4,1),'Registro Incidencias'!B$5:B$200,"&lt;="&amp;DATE(2026,4+1,0),'Registro Incidencias'!S$5:S$200,"Juan Manuel",'Registro Incidencias'!AE$5:AE$200,"Falta de material")</f>
        <v>0</v>
      </c>
      <c r="J40" s="22">
        <f>COUNTIFS('Registro Incidencias'!B$5:B$200,"&gt;="&amp;DATE(2026,4,1),'Registro Incidencias'!B$5:B$200,"&lt;="&amp;DATE(2026,4+1,0),'Registro Incidencias'!S$5:S$200,"Juan Manuel",'Registro Incidencias'!AE$5:AE$200,"Causa del cliente")</f>
        <v>0</v>
      </c>
      <c r="K40" s="28">
        <f>SUMIFS('Registro Incidencias'!AQ$5:AQ$200,'Registro Incidencias'!B$5:B$200,"&gt;="&amp;DATE(2026,4,1),'Registro Incidencias'!B$5:B$200,"&lt;="&amp;DATE(2026,4+1,0),'Registro Incidencias'!S$5:S$200,"Juan Manuel")</f>
        <v>0</v>
      </c>
      <c r="L40" s="28">
        <f>SUMIFS('Registro Incidencias'!AR$5:AR$200,'Registro Incidencias'!B$5:B$200,"&gt;="&amp;DATE(2026,4,1),'Registro Incidencias'!B$5:B$200,"&lt;="&amp;DATE(2026,4+1,0),'Registro Incidencias'!S$5:S$200,"Juan Manuel")</f>
        <v>0</v>
      </c>
      <c r="M40" s="28">
        <f>SUMIFS('Registro Incidencias'!AG$5:AG$200,'Registro Incidencias'!B$5:B$200,"&gt;="&amp;DATE(2026,4,1),'Registro Incidencias'!B$5:B$200,"&lt;="&amp;DATE(2026,4+1,0),'Registro Incidencias'!S$5:S$200,"Juan Manuel")</f>
        <v>0</v>
      </c>
      <c r="N40" s="119">
        <f t="shared" si="6"/>
        <v>0</v>
      </c>
      <c r="O40" s="22">
        <f>SUMIFS('Registro Incidencias'!X$5:X$200,'Registro Incidencias'!B$5:B$200,"&gt;="&amp;DATE(2026,4,1),'Registro Incidencias'!B$5:B$200,"&lt;="&amp;DATE(2026,4+1,0),'Registro Incidencias'!S$5:S$200,"Juan Manuel")</f>
        <v>0</v>
      </c>
      <c r="P40" s="30">
        <f>IFERROR(AVERAGEIFS('Registro Incidencias'!AO$5:AO$200,'Registro Incidencias'!B$5:B$200,"&gt;="&amp;DATE(2026,4,1),'Registro Incidencias'!B$5:B$200,"&lt;="&amp;DATE(2026,4+1,0),'Registro Incidencias'!S$5:S$200,"Juan Manuel"),0)</f>
        <v>0</v>
      </c>
      <c r="Q40" s="109">
        <f t="shared" si="7"/>
        <v>0</v>
      </c>
      <c r="R40" s="30">
        <f>IFERROR(D40/DAY(DATE(2026,4+1,0)),0)</f>
        <v>0</v>
      </c>
    </row>
    <row r="41" spans="1:18" x14ac:dyDescent="0.25">
      <c r="A41" s="33"/>
      <c r="B41" s="106" t="s">
        <v>81</v>
      </c>
      <c r="C41" s="39">
        <v>13.5</v>
      </c>
      <c r="D41" s="33">
        <f>COUNTIFS('Registro Incidencias'!B$5:B$200,"&gt;="&amp;DATE(2026,4,1),'Registro Incidencias'!B$5:B$200,"&lt;="&amp;DATE(2026,4+1,0),'Registro Incidencias'!S$5:S$200,"Adrián")</f>
        <v>0</v>
      </c>
      <c r="E41" s="33">
        <f>COUNTIFS('Registro Incidencias'!B$5:B$200,"&gt;="&amp;DATE(2026,4,1),'Registro Incidencias'!B$5:B$200,"&lt;="&amp;DATE(2026,4+1,0),'Registro Incidencias'!S$5:S$200,"Adrián",'Registro Incidencias'!AK$5:AK$200,"*Resuelta*")+COUNTIFS('Registro Incidencias'!B$5:B$200,"&gt;="&amp;DATE(2026,4,1),'Registro Incidencias'!B$5:B$200,"&lt;="&amp;DATE(2026,4+1,0),'Registro Incidencias'!S$5:S$200,"Adrián",'Registro Incidencias'!AK$5:AK$200,"*Cerrada*")</f>
        <v>0</v>
      </c>
      <c r="F41" s="107">
        <f t="shared" si="5"/>
        <v>0</v>
      </c>
      <c r="G41" s="33">
        <f>COUNTIFS('Registro Incidencias'!B$5:B$200,"&gt;="&amp;DATE(2026,4,1),'Registro Incidencias'!B$5:B$200,"&lt;="&amp;DATE(2026,4+1,0),'Registro Incidencias'!S$5:S$200,"Adrián",'Registro Incidencias'!AD$5:AD$200,"&gt;1")</f>
        <v>0</v>
      </c>
      <c r="H41" s="33">
        <f>COUNTIFS('Registro Incidencias'!B$5:B$200,"&gt;="&amp;DATE(2026,4,1),'Registro Incidencias'!B$5:B$200,"&lt;="&amp;DATE(2026,4+1,0),'Registro Incidencias'!S$5:S$200,"Adrián",'Registro Incidencias'!AE$5:AE$200,"Fallo del técnico")</f>
        <v>0</v>
      </c>
      <c r="I41" s="33">
        <f>COUNTIFS('Registro Incidencias'!B$5:B$200,"&gt;="&amp;DATE(2026,4,1),'Registro Incidencias'!B$5:B$200,"&lt;="&amp;DATE(2026,4+1,0),'Registro Incidencias'!S$5:S$200,"Adrián",'Registro Incidencias'!AE$5:AE$200,"Falta de material")</f>
        <v>0</v>
      </c>
      <c r="J41" s="33">
        <f>COUNTIFS('Registro Incidencias'!B$5:B$200,"&gt;="&amp;DATE(2026,4,1),'Registro Incidencias'!B$5:B$200,"&lt;="&amp;DATE(2026,4+1,0),'Registro Incidencias'!S$5:S$200,"Adrián",'Registro Incidencias'!AE$5:AE$200,"Causa del cliente")</f>
        <v>0</v>
      </c>
      <c r="K41" s="39">
        <f>SUMIFS('Registro Incidencias'!AQ$5:AQ$200,'Registro Incidencias'!B$5:B$200,"&gt;="&amp;DATE(2026,4,1),'Registro Incidencias'!B$5:B$200,"&lt;="&amp;DATE(2026,4+1,0),'Registro Incidencias'!S$5:S$200,"Adrián")</f>
        <v>0</v>
      </c>
      <c r="L41" s="39">
        <f>SUMIFS('Registro Incidencias'!AR$5:AR$200,'Registro Incidencias'!B$5:B$200,"&gt;="&amp;DATE(2026,4,1),'Registro Incidencias'!B$5:B$200,"&lt;="&amp;DATE(2026,4+1,0),'Registro Incidencias'!S$5:S$200,"Adrián")</f>
        <v>0</v>
      </c>
      <c r="M41" s="39">
        <f>SUMIFS('Registro Incidencias'!AG$5:AG$200,'Registro Incidencias'!B$5:B$200,"&gt;="&amp;DATE(2026,4,1),'Registro Incidencias'!B$5:B$200,"&lt;="&amp;DATE(2026,4+1,0),'Registro Incidencias'!S$5:S$200,"Adrián")</f>
        <v>0</v>
      </c>
      <c r="N41" s="117">
        <f t="shared" si="6"/>
        <v>0</v>
      </c>
      <c r="O41" s="33">
        <f>SUMIFS('Registro Incidencias'!X$5:X$200,'Registro Incidencias'!B$5:B$200,"&gt;="&amp;DATE(2026,4,1),'Registro Incidencias'!B$5:B$200,"&lt;="&amp;DATE(2026,4+1,0),'Registro Incidencias'!S$5:S$200,"Adrián")</f>
        <v>0</v>
      </c>
      <c r="P41" s="41">
        <f>IFERROR(AVERAGEIFS('Registro Incidencias'!AO$5:AO$200,'Registro Incidencias'!B$5:B$200,"&gt;="&amp;DATE(2026,4,1),'Registro Incidencias'!B$5:B$200,"&lt;="&amp;DATE(2026,4+1,0),'Registro Incidencias'!S$5:S$200,"Adrián"),0)</f>
        <v>0</v>
      </c>
      <c r="Q41" s="107">
        <f t="shared" si="7"/>
        <v>0</v>
      </c>
      <c r="R41" s="41">
        <f>IFERROR(D41/DAY(DATE(2026,4+1,0)),0)</f>
        <v>0</v>
      </c>
    </row>
    <row r="42" spans="1:18" x14ac:dyDescent="0.25">
      <c r="A42" s="106" t="s">
        <v>270</v>
      </c>
      <c r="B42" s="106" t="s">
        <v>77</v>
      </c>
      <c r="C42" s="39">
        <v>15.8</v>
      </c>
      <c r="D42" s="33">
        <f>COUNTIFS('Registro Incidencias'!B$5:B$200,"&gt;="&amp;DATE(2026,5,1),'Registro Incidencias'!B$5:B$200,"&lt;="&amp;DATE(2026,5+1,0),'Registro Incidencias'!S$5:S$200,"Raúl")</f>
        <v>0</v>
      </c>
      <c r="E42" s="33">
        <f>COUNTIFS('Registro Incidencias'!B$5:B$200,"&gt;="&amp;DATE(2026,5,1),'Registro Incidencias'!B$5:B$200,"&lt;="&amp;DATE(2026,5+1,0),'Registro Incidencias'!S$5:S$200,"Raúl",'Registro Incidencias'!AK$5:AK$200,"*Resuelta*")+COUNTIFS('Registro Incidencias'!B$5:B$200,"&gt;="&amp;DATE(2026,5,1),'Registro Incidencias'!B$5:B$200,"&lt;="&amp;DATE(2026,5+1,0),'Registro Incidencias'!S$5:S$200,"Raúl",'Registro Incidencias'!AK$5:AK$200,"*Cerrada*")</f>
        <v>0</v>
      </c>
      <c r="F42" s="107">
        <f t="shared" si="5"/>
        <v>0</v>
      </c>
      <c r="G42" s="33">
        <f>COUNTIFS('Registro Incidencias'!B$5:B$200,"&gt;="&amp;DATE(2026,5,1),'Registro Incidencias'!B$5:B$200,"&lt;="&amp;DATE(2026,5+1,0),'Registro Incidencias'!S$5:S$200,"Raúl",'Registro Incidencias'!AD$5:AD$200,"&gt;1")</f>
        <v>0</v>
      </c>
      <c r="H42" s="33">
        <f>COUNTIFS('Registro Incidencias'!B$5:B$200,"&gt;="&amp;DATE(2026,5,1),'Registro Incidencias'!B$5:B$200,"&lt;="&amp;DATE(2026,5+1,0),'Registro Incidencias'!S$5:S$200,"Raúl",'Registro Incidencias'!AE$5:AE$200,"Fallo del técnico")</f>
        <v>0</v>
      </c>
      <c r="I42" s="33">
        <f>COUNTIFS('Registro Incidencias'!B$5:B$200,"&gt;="&amp;DATE(2026,5,1),'Registro Incidencias'!B$5:B$200,"&lt;="&amp;DATE(2026,5+1,0),'Registro Incidencias'!S$5:S$200,"Raúl",'Registro Incidencias'!AE$5:AE$200,"Falta de material")</f>
        <v>0</v>
      </c>
      <c r="J42" s="33">
        <f>COUNTIFS('Registro Incidencias'!B$5:B$200,"&gt;="&amp;DATE(2026,5,1),'Registro Incidencias'!B$5:B$200,"&lt;="&amp;DATE(2026,5+1,0),'Registro Incidencias'!S$5:S$200,"Raúl",'Registro Incidencias'!AE$5:AE$200,"Causa del cliente")</f>
        <v>0</v>
      </c>
      <c r="K42" s="39">
        <f>SUMIFS('Registro Incidencias'!AQ$5:AQ$200,'Registro Incidencias'!B$5:B$200,"&gt;="&amp;DATE(2026,5,1),'Registro Incidencias'!B$5:B$200,"&lt;="&amp;DATE(2026,5+1,0),'Registro Incidencias'!S$5:S$200,"Raúl")</f>
        <v>0</v>
      </c>
      <c r="L42" s="39">
        <f>SUMIFS('Registro Incidencias'!AR$5:AR$200,'Registro Incidencias'!B$5:B$200,"&gt;="&amp;DATE(2026,5,1),'Registro Incidencias'!B$5:B$200,"&lt;="&amp;DATE(2026,5+1,0),'Registro Incidencias'!S$5:S$200,"Raúl")</f>
        <v>0</v>
      </c>
      <c r="M42" s="39">
        <f>SUMIFS('Registro Incidencias'!AG$5:AG$200,'Registro Incidencias'!B$5:B$200,"&gt;="&amp;DATE(2026,5,1),'Registro Incidencias'!B$5:B$200,"&lt;="&amp;DATE(2026,5+1,0),'Registro Incidencias'!S$5:S$200,"Raúl")</f>
        <v>0</v>
      </c>
      <c r="N42" s="117">
        <f t="shared" si="6"/>
        <v>0</v>
      </c>
      <c r="O42" s="33">
        <f>SUMIFS('Registro Incidencias'!X$5:X$200,'Registro Incidencias'!B$5:B$200,"&gt;="&amp;DATE(2026,5,1),'Registro Incidencias'!B$5:B$200,"&lt;="&amp;DATE(2026,5+1,0),'Registro Incidencias'!S$5:S$200,"Raúl")</f>
        <v>0</v>
      </c>
      <c r="P42" s="41">
        <f>IFERROR(AVERAGEIFS('Registro Incidencias'!AO$5:AO$200,'Registro Incidencias'!B$5:B$200,"&gt;="&amp;DATE(2026,5,1),'Registro Incidencias'!B$5:B$200,"&lt;="&amp;DATE(2026,5+1,0),'Registro Incidencias'!S$5:S$200,"Raúl"),0)</f>
        <v>0</v>
      </c>
      <c r="Q42" s="107">
        <f t="shared" si="7"/>
        <v>0</v>
      </c>
      <c r="R42" s="41">
        <f>IFERROR(D42/DAY(DATE(2026,5+1,0)),0)</f>
        <v>0</v>
      </c>
    </row>
    <row r="43" spans="1:18" x14ac:dyDescent="0.25">
      <c r="A43" s="22"/>
      <c r="B43" s="108" t="s">
        <v>78</v>
      </c>
      <c r="C43" s="28">
        <v>17.5</v>
      </c>
      <c r="D43" s="22">
        <f>COUNTIFS('Registro Incidencias'!B$5:B$200,"&gt;="&amp;DATE(2026,5,1),'Registro Incidencias'!B$5:B$200,"&lt;="&amp;DATE(2026,5+1,0),'Registro Incidencias'!S$5:S$200,"Juan Luis")</f>
        <v>0</v>
      </c>
      <c r="E43" s="22">
        <f>COUNTIFS('Registro Incidencias'!B$5:B$200,"&gt;="&amp;DATE(2026,5,1),'Registro Incidencias'!B$5:B$200,"&lt;="&amp;DATE(2026,5+1,0),'Registro Incidencias'!S$5:S$200,"Juan Luis",'Registro Incidencias'!AK$5:AK$200,"*Resuelta*")+COUNTIFS('Registro Incidencias'!B$5:B$200,"&gt;="&amp;DATE(2026,5,1),'Registro Incidencias'!B$5:B$200,"&lt;="&amp;DATE(2026,5+1,0),'Registro Incidencias'!S$5:S$200,"Juan Luis",'Registro Incidencias'!AK$5:AK$200,"*Cerrada*")</f>
        <v>0</v>
      </c>
      <c r="F43" s="109">
        <f t="shared" si="5"/>
        <v>0</v>
      </c>
      <c r="G43" s="22">
        <f>COUNTIFS('Registro Incidencias'!B$5:B$200,"&gt;="&amp;DATE(2026,5,1),'Registro Incidencias'!B$5:B$200,"&lt;="&amp;DATE(2026,5+1,0),'Registro Incidencias'!S$5:S$200,"Juan Luis",'Registro Incidencias'!AD$5:AD$200,"&gt;1")</f>
        <v>0</v>
      </c>
      <c r="H43" s="22">
        <f>COUNTIFS('Registro Incidencias'!B$5:B$200,"&gt;="&amp;DATE(2026,5,1),'Registro Incidencias'!B$5:B$200,"&lt;="&amp;DATE(2026,5+1,0),'Registro Incidencias'!S$5:S$200,"Juan Luis",'Registro Incidencias'!AE$5:AE$200,"Fallo del técnico")</f>
        <v>0</v>
      </c>
      <c r="I43" s="22">
        <f>COUNTIFS('Registro Incidencias'!B$5:B$200,"&gt;="&amp;DATE(2026,5,1),'Registro Incidencias'!B$5:B$200,"&lt;="&amp;DATE(2026,5+1,0),'Registro Incidencias'!S$5:S$200,"Juan Luis",'Registro Incidencias'!AE$5:AE$200,"Falta de material")</f>
        <v>0</v>
      </c>
      <c r="J43" s="22">
        <f>COUNTIFS('Registro Incidencias'!B$5:B$200,"&gt;="&amp;DATE(2026,5,1),'Registro Incidencias'!B$5:B$200,"&lt;="&amp;DATE(2026,5+1,0),'Registro Incidencias'!S$5:S$200,"Juan Luis",'Registro Incidencias'!AE$5:AE$200,"Causa del cliente")</f>
        <v>0</v>
      </c>
      <c r="K43" s="28">
        <f>SUMIFS('Registro Incidencias'!AQ$5:AQ$200,'Registro Incidencias'!B$5:B$200,"&gt;="&amp;DATE(2026,5,1),'Registro Incidencias'!B$5:B$200,"&lt;="&amp;DATE(2026,5+1,0),'Registro Incidencias'!S$5:S$200,"Juan Luis")</f>
        <v>0</v>
      </c>
      <c r="L43" s="28">
        <f>SUMIFS('Registro Incidencias'!AR$5:AR$200,'Registro Incidencias'!B$5:B$200,"&gt;="&amp;DATE(2026,5,1),'Registro Incidencias'!B$5:B$200,"&lt;="&amp;DATE(2026,5+1,0),'Registro Incidencias'!S$5:S$200,"Juan Luis")</f>
        <v>0</v>
      </c>
      <c r="M43" s="28">
        <f>SUMIFS('Registro Incidencias'!AG$5:AG$200,'Registro Incidencias'!B$5:B$200,"&gt;="&amp;DATE(2026,5,1),'Registro Incidencias'!B$5:B$200,"&lt;="&amp;DATE(2026,5+1,0),'Registro Incidencias'!S$5:S$200,"Juan Luis")</f>
        <v>0</v>
      </c>
      <c r="N43" s="119">
        <f t="shared" si="6"/>
        <v>0</v>
      </c>
      <c r="O43" s="22">
        <f>SUMIFS('Registro Incidencias'!X$5:X$200,'Registro Incidencias'!B$5:B$200,"&gt;="&amp;DATE(2026,5,1),'Registro Incidencias'!B$5:B$200,"&lt;="&amp;DATE(2026,5+1,0),'Registro Incidencias'!S$5:S$200,"Juan Luis")</f>
        <v>0</v>
      </c>
      <c r="P43" s="30">
        <f>IFERROR(AVERAGEIFS('Registro Incidencias'!AO$5:AO$200,'Registro Incidencias'!B$5:B$200,"&gt;="&amp;DATE(2026,5,1),'Registro Incidencias'!B$5:B$200,"&lt;="&amp;DATE(2026,5+1,0),'Registro Incidencias'!S$5:S$200,"Juan Luis"),0)</f>
        <v>0</v>
      </c>
      <c r="Q43" s="109">
        <f t="shared" si="7"/>
        <v>0</v>
      </c>
      <c r="R43" s="30">
        <f>IFERROR(D43/DAY(DATE(2026,5+1,0)),0)</f>
        <v>0</v>
      </c>
    </row>
    <row r="44" spans="1:18" x14ac:dyDescent="0.25">
      <c r="A44" s="33"/>
      <c r="B44" s="106" t="s">
        <v>79</v>
      </c>
      <c r="C44" s="39">
        <v>13.5</v>
      </c>
      <c r="D44" s="33">
        <f>COUNTIFS('Registro Incidencias'!B$5:B$200,"&gt;="&amp;DATE(2026,5,1),'Registro Incidencias'!B$5:B$200,"&lt;="&amp;DATE(2026,5+1,0),'Registro Incidencias'!S$5:S$200,"Paco")</f>
        <v>0</v>
      </c>
      <c r="E44" s="33">
        <f>COUNTIFS('Registro Incidencias'!B$5:B$200,"&gt;="&amp;DATE(2026,5,1),'Registro Incidencias'!B$5:B$200,"&lt;="&amp;DATE(2026,5+1,0),'Registro Incidencias'!S$5:S$200,"Paco",'Registro Incidencias'!AK$5:AK$200,"*Resuelta*")+COUNTIFS('Registro Incidencias'!B$5:B$200,"&gt;="&amp;DATE(2026,5,1),'Registro Incidencias'!B$5:B$200,"&lt;="&amp;DATE(2026,5+1,0),'Registro Incidencias'!S$5:S$200,"Paco",'Registro Incidencias'!AK$5:AK$200,"*Cerrada*")</f>
        <v>0</v>
      </c>
      <c r="F44" s="107">
        <f t="shared" si="5"/>
        <v>0</v>
      </c>
      <c r="G44" s="33">
        <f>COUNTIFS('Registro Incidencias'!B$5:B$200,"&gt;="&amp;DATE(2026,5,1),'Registro Incidencias'!B$5:B$200,"&lt;="&amp;DATE(2026,5+1,0),'Registro Incidencias'!S$5:S$200,"Paco",'Registro Incidencias'!AD$5:AD$200,"&gt;1")</f>
        <v>0</v>
      </c>
      <c r="H44" s="33">
        <f>COUNTIFS('Registro Incidencias'!B$5:B$200,"&gt;="&amp;DATE(2026,5,1),'Registro Incidencias'!B$5:B$200,"&lt;="&amp;DATE(2026,5+1,0),'Registro Incidencias'!S$5:S$200,"Paco",'Registro Incidencias'!AE$5:AE$200,"Fallo del técnico")</f>
        <v>0</v>
      </c>
      <c r="I44" s="33">
        <f>COUNTIFS('Registro Incidencias'!B$5:B$200,"&gt;="&amp;DATE(2026,5,1),'Registro Incidencias'!B$5:B$200,"&lt;="&amp;DATE(2026,5+1,0),'Registro Incidencias'!S$5:S$200,"Paco",'Registro Incidencias'!AE$5:AE$200,"Falta de material")</f>
        <v>0</v>
      </c>
      <c r="J44" s="33">
        <f>COUNTIFS('Registro Incidencias'!B$5:B$200,"&gt;="&amp;DATE(2026,5,1),'Registro Incidencias'!B$5:B$200,"&lt;="&amp;DATE(2026,5+1,0),'Registro Incidencias'!S$5:S$200,"Paco",'Registro Incidencias'!AE$5:AE$200,"Causa del cliente")</f>
        <v>0</v>
      </c>
      <c r="K44" s="39">
        <f>SUMIFS('Registro Incidencias'!AQ$5:AQ$200,'Registro Incidencias'!B$5:B$200,"&gt;="&amp;DATE(2026,5,1),'Registro Incidencias'!B$5:B$200,"&lt;="&amp;DATE(2026,5+1,0),'Registro Incidencias'!S$5:S$200,"Paco")</f>
        <v>0</v>
      </c>
      <c r="L44" s="39">
        <f>SUMIFS('Registro Incidencias'!AR$5:AR$200,'Registro Incidencias'!B$5:B$200,"&gt;="&amp;DATE(2026,5,1),'Registro Incidencias'!B$5:B$200,"&lt;="&amp;DATE(2026,5+1,0),'Registro Incidencias'!S$5:S$200,"Paco")</f>
        <v>0</v>
      </c>
      <c r="M44" s="39">
        <f>SUMIFS('Registro Incidencias'!AG$5:AG$200,'Registro Incidencias'!B$5:B$200,"&gt;="&amp;DATE(2026,5,1),'Registro Incidencias'!B$5:B$200,"&lt;="&amp;DATE(2026,5+1,0),'Registro Incidencias'!S$5:S$200,"Paco")</f>
        <v>0</v>
      </c>
      <c r="N44" s="117">
        <f t="shared" si="6"/>
        <v>0</v>
      </c>
      <c r="O44" s="33">
        <f>SUMIFS('Registro Incidencias'!X$5:X$200,'Registro Incidencias'!B$5:B$200,"&gt;="&amp;DATE(2026,5,1),'Registro Incidencias'!B$5:B$200,"&lt;="&amp;DATE(2026,5+1,0),'Registro Incidencias'!S$5:S$200,"Paco")</f>
        <v>0</v>
      </c>
      <c r="P44" s="41">
        <f>IFERROR(AVERAGEIFS('Registro Incidencias'!AO$5:AO$200,'Registro Incidencias'!B$5:B$200,"&gt;="&amp;DATE(2026,5,1),'Registro Incidencias'!B$5:B$200,"&lt;="&amp;DATE(2026,5+1,0),'Registro Incidencias'!S$5:S$200,"Paco"),0)</f>
        <v>0</v>
      </c>
      <c r="Q44" s="107">
        <f t="shared" si="7"/>
        <v>0</v>
      </c>
      <c r="R44" s="41">
        <f>IFERROR(D44/DAY(DATE(2026,5+1,0)),0)</f>
        <v>0</v>
      </c>
    </row>
    <row r="45" spans="1:18" x14ac:dyDescent="0.25">
      <c r="A45" s="22"/>
      <c r="B45" s="108" t="s">
        <v>80</v>
      </c>
      <c r="C45" s="28">
        <v>18.899999999999999</v>
      </c>
      <c r="D45" s="22">
        <f>COUNTIFS('Registro Incidencias'!B$5:B$200,"&gt;="&amp;DATE(2026,5,1),'Registro Incidencias'!B$5:B$200,"&lt;="&amp;DATE(2026,5+1,0),'Registro Incidencias'!S$5:S$200,"Juan Manuel")</f>
        <v>0</v>
      </c>
      <c r="E45" s="22">
        <f>COUNTIFS('Registro Incidencias'!B$5:B$200,"&gt;="&amp;DATE(2026,5,1),'Registro Incidencias'!B$5:B$200,"&lt;="&amp;DATE(2026,5+1,0),'Registro Incidencias'!S$5:S$200,"Juan Manuel",'Registro Incidencias'!AK$5:AK$200,"*Resuelta*")+COUNTIFS('Registro Incidencias'!B$5:B$200,"&gt;="&amp;DATE(2026,5,1),'Registro Incidencias'!B$5:B$200,"&lt;="&amp;DATE(2026,5+1,0),'Registro Incidencias'!S$5:S$200,"Juan Manuel",'Registro Incidencias'!AK$5:AK$200,"*Cerrada*")</f>
        <v>0</v>
      </c>
      <c r="F45" s="109">
        <f t="shared" si="5"/>
        <v>0</v>
      </c>
      <c r="G45" s="22">
        <f>COUNTIFS('Registro Incidencias'!B$5:B$200,"&gt;="&amp;DATE(2026,5,1),'Registro Incidencias'!B$5:B$200,"&lt;="&amp;DATE(2026,5+1,0),'Registro Incidencias'!S$5:S$200,"Juan Manuel",'Registro Incidencias'!AD$5:AD$200,"&gt;1")</f>
        <v>0</v>
      </c>
      <c r="H45" s="22">
        <f>COUNTIFS('Registro Incidencias'!B$5:B$200,"&gt;="&amp;DATE(2026,5,1),'Registro Incidencias'!B$5:B$200,"&lt;="&amp;DATE(2026,5+1,0),'Registro Incidencias'!S$5:S$200,"Juan Manuel",'Registro Incidencias'!AE$5:AE$200,"Fallo del técnico")</f>
        <v>0</v>
      </c>
      <c r="I45" s="22">
        <f>COUNTIFS('Registro Incidencias'!B$5:B$200,"&gt;="&amp;DATE(2026,5,1),'Registro Incidencias'!B$5:B$200,"&lt;="&amp;DATE(2026,5+1,0),'Registro Incidencias'!S$5:S$200,"Juan Manuel",'Registro Incidencias'!AE$5:AE$200,"Falta de material")</f>
        <v>0</v>
      </c>
      <c r="J45" s="22">
        <f>COUNTIFS('Registro Incidencias'!B$5:B$200,"&gt;="&amp;DATE(2026,5,1),'Registro Incidencias'!B$5:B$200,"&lt;="&amp;DATE(2026,5+1,0),'Registro Incidencias'!S$5:S$200,"Juan Manuel",'Registro Incidencias'!AE$5:AE$200,"Causa del cliente")</f>
        <v>0</v>
      </c>
      <c r="K45" s="28">
        <f>SUMIFS('Registro Incidencias'!AQ$5:AQ$200,'Registro Incidencias'!B$5:B$200,"&gt;="&amp;DATE(2026,5,1),'Registro Incidencias'!B$5:B$200,"&lt;="&amp;DATE(2026,5+1,0),'Registro Incidencias'!S$5:S$200,"Juan Manuel")</f>
        <v>0</v>
      </c>
      <c r="L45" s="28">
        <f>SUMIFS('Registro Incidencias'!AR$5:AR$200,'Registro Incidencias'!B$5:B$200,"&gt;="&amp;DATE(2026,5,1),'Registro Incidencias'!B$5:B$200,"&lt;="&amp;DATE(2026,5+1,0),'Registro Incidencias'!S$5:S$200,"Juan Manuel")</f>
        <v>0</v>
      </c>
      <c r="M45" s="28">
        <f>SUMIFS('Registro Incidencias'!AG$5:AG$200,'Registro Incidencias'!B$5:B$200,"&gt;="&amp;DATE(2026,5,1),'Registro Incidencias'!B$5:B$200,"&lt;="&amp;DATE(2026,5+1,0),'Registro Incidencias'!S$5:S$200,"Juan Manuel")</f>
        <v>0</v>
      </c>
      <c r="N45" s="119">
        <f t="shared" si="6"/>
        <v>0</v>
      </c>
      <c r="O45" s="22">
        <f>SUMIFS('Registro Incidencias'!X$5:X$200,'Registro Incidencias'!B$5:B$200,"&gt;="&amp;DATE(2026,5,1),'Registro Incidencias'!B$5:B$200,"&lt;="&amp;DATE(2026,5+1,0),'Registro Incidencias'!S$5:S$200,"Juan Manuel")</f>
        <v>0</v>
      </c>
      <c r="P45" s="30">
        <f>IFERROR(AVERAGEIFS('Registro Incidencias'!AO$5:AO$200,'Registro Incidencias'!B$5:B$200,"&gt;="&amp;DATE(2026,5,1),'Registro Incidencias'!B$5:B$200,"&lt;="&amp;DATE(2026,5+1,0),'Registro Incidencias'!S$5:S$200,"Juan Manuel"),0)</f>
        <v>0</v>
      </c>
      <c r="Q45" s="109">
        <f t="shared" si="7"/>
        <v>0</v>
      </c>
      <c r="R45" s="30">
        <f>IFERROR(D45/DAY(DATE(2026,5+1,0)),0)</f>
        <v>0</v>
      </c>
    </row>
    <row r="46" spans="1:18" x14ac:dyDescent="0.25">
      <c r="A46" s="33"/>
      <c r="B46" s="106" t="s">
        <v>81</v>
      </c>
      <c r="C46" s="39">
        <v>13.5</v>
      </c>
      <c r="D46" s="33">
        <f>COUNTIFS('Registro Incidencias'!B$5:B$200,"&gt;="&amp;DATE(2026,5,1),'Registro Incidencias'!B$5:B$200,"&lt;="&amp;DATE(2026,5+1,0),'Registro Incidencias'!S$5:S$200,"Adrián")</f>
        <v>0</v>
      </c>
      <c r="E46" s="33">
        <f>COUNTIFS('Registro Incidencias'!B$5:B$200,"&gt;="&amp;DATE(2026,5,1),'Registro Incidencias'!B$5:B$200,"&lt;="&amp;DATE(2026,5+1,0),'Registro Incidencias'!S$5:S$200,"Adrián",'Registro Incidencias'!AK$5:AK$200,"*Resuelta*")+COUNTIFS('Registro Incidencias'!B$5:B$200,"&gt;="&amp;DATE(2026,5,1),'Registro Incidencias'!B$5:B$200,"&lt;="&amp;DATE(2026,5+1,0),'Registro Incidencias'!S$5:S$200,"Adrián",'Registro Incidencias'!AK$5:AK$200,"*Cerrada*")</f>
        <v>0</v>
      </c>
      <c r="F46" s="107">
        <f t="shared" si="5"/>
        <v>0</v>
      </c>
      <c r="G46" s="33">
        <f>COUNTIFS('Registro Incidencias'!B$5:B$200,"&gt;="&amp;DATE(2026,5,1),'Registro Incidencias'!B$5:B$200,"&lt;="&amp;DATE(2026,5+1,0),'Registro Incidencias'!S$5:S$200,"Adrián",'Registro Incidencias'!AD$5:AD$200,"&gt;1")</f>
        <v>0</v>
      </c>
      <c r="H46" s="33">
        <f>COUNTIFS('Registro Incidencias'!B$5:B$200,"&gt;="&amp;DATE(2026,5,1),'Registro Incidencias'!B$5:B$200,"&lt;="&amp;DATE(2026,5+1,0),'Registro Incidencias'!S$5:S$200,"Adrián",'Registro Incidencias'!AE$5:AE$200,"Fallo del técnico")</f>
        <v>0</v>
      </c>
      <c r="I46" s="33">
        <f>COUNTIFS('Registro Incidencias'!B$5:B$200,"&gt;="&amp;DATE(2026,5,1),'Registro Incidencias'!B$5:B$200,"&lt;="&amp;DATE(2026,5+1,0),'Registro Incidencias'!S$5:S$200,"Adrián",'Registro Incidencias'!AE$5:AE$200,"Falta de material")</f>
        <v>0</v>
      </c>
      <c r="J46" s="33">
        <f>COUNTIFS('Registro Incidencias'!B$5:B$200,"&gt;="&amp;DATE(2026,5,1),'Registro Incidencias'!B$5:B$200,"&lt;="&amp;DATE(2026,5+1,0),'Registro Incidencias'!S$5:S$200,"Adrián",'Registro Incidencias'!AE$5:AE$200,"Causa del cliente")</f>
        <v>0</v>
      </c>
      <c r="K46" s="39">
        <f>SUMIFS('Registro Incidencias'!AQ$5:AQ$200,'Registro Incidencias'!B$5:B$200,"&gt;="&amp;DATE(2026,5,1),'Registro Incidencias'!B$5:B$200,"&lt;="&amp;DATE(2026,5+1,0),'Registro Incidencias'!S$5:S$200,"Adrián")</f>
        <v>0</v>
      </c>
      <c r="L46" s="39">
        <f>SUMIFS('Registro Incidencias'!AR$5:AR$200,'Registro Incidencias'!B$5:B$200,"&gt;="&amp;DATE(2026,5,1),'Registro Incidencias'!B$5:B$200,"&lt;="&amp;DATE(2026,5+1,0),'Registro Incidencias'!S$5:S$200,"Adrián")</f>
        <v>0</v>
      </c>
      <c r="M46" s="39">
        <f>SUMIFS('Registro Incidencias'!AG$5:AG$200,'Registro Incidencias'!B$5:B$200,"&gt;="&amp;DATE(2026,5,1),'Registro Incidencias'!B$5:B$200,"&lt;="&amp;DATE(2026,5+1,0),'Registro Incidencias'!S$5:S$200,"Adrián")</f>
        <v>0</v>
      </c>
      <c r="N46" s="117">
        <f t="shared" si="6"/>
        <v>0</v>
      </c>
      <c r="O46" s="33">
        <f>SUMIFS('Registro Incidencias'!X$5:X$200,'Registro Incidencias'!B$5:B$200,"&gt;="&amp;DATE(2026,5,1),'Registro Incidencias'!B$5:B$200,"&lt;="&amp;DATE(2026,5+1,0),'Registro Incidencias'!S$5:S$200,"Adrián")</f>
        <v>0</v>
      </c>
      <c r="P46" s="41">
        <f>IFERROR(AVERAGEIFS('Registro Incidencias'!AO$5:AO$200,'Registro Incidencias'!B$5:B$200,"&gt;="&amp;DATE(2026,5,1),'Registro Incidencias'!B$5:B$200,"&lt;="&amp;DATE(2026,5+1,0),'Registro Incidencias'!S$5:S$200,"Adrián"),0)</f>
        <v>0</v>
      </c>
      <c r="Q46" s="107">
        <f t="shared" si="7"/>
        <v>0</v>
      </c>
      <c r="R46" s="41">
        <f>IFERROR(D46/DAY(DATE(2026,5+1,0)),0)</f>
        <v>0</v>
      </c>
    </row>
    <row r="47" spans="1:18" x14ac:dyDescent="0.25">
      <c r="A47" s="106" t="s">
        <v>271</v>
      </c>
      <c r="B47" s="106" t="s">
        <v>77</v>
      </c>
      <c r="C47" s="39">
        <v>15.8</v>
      </c>
      <c r="D47" s="33">
        <f>COUNTIFS('Registro Incidencias'!B$5:B$200,"&gt;="&amp;DATE(2026,6,1),'Registro Incidencias'!B$5:B$200,"&lt;="&amp;DATE(2026,6+1,0),'Registro Incidencias'!S$5:S$200,"Raúl")</f>
        <v>0</v>
      </c>
      <c r="E47" s="33">
        <f>COUNTIFS('Registro Incidencias'!B$5:B$200,"&gt;="&amp;DATE(2026,6,1),'Registro Incidencias'!B$5:B$200,"&lt;="&amp;DATE(2026,6+1,0),'Registro Incidencias'!S$5:S$200,"Raúl",'Registro Incidencias'!AK$5:AK$200,"*Resuelta*")+COUNTIFS('Registro Incidencias'!B$5:B$200,"&gt;="&amp;DATE(2026,6,1),'Registro Incidencias'!B$5:B$200,"&lt;="&amp;DATE(2026,6+1,0),'Registro Incidencias'!S$5:S$200,"Raúl",'Registro Incidencias'!AK$5:AK$200,"*Cerrada*")</f>
        <v>0</v>
      </c>
      <c r="F47" s="107">
        <f t="shared" si="5"/>
        <v>0</v>
      </c>
      <c r="G47" s="33">
        <f>COUNTIFS('Registro Incidencias'!B$5:B$200,"&gt;="&amp;DATE(2026,6,1),'Registro Incidencias'!B$5:B$200,"&lt;="&amp;DATE(2026,6+1,0),'Registro Incidencias'!S$5:S$200,"Raúl",'Registro Incidencias'!AD$5:AD$200,"&gt;1")</f>
        <v>0</v>
      </c>
      <c r="H47" s="33">
        <f>COUNTIFS('Registro Incidencias'!B$5:B$200,"&gt;="&amp;DATE(2026,6,1),'Registro Incidencias'!B$5:B$200,"&lt;="&amp;DATE(2026,6+1,0),'Registro Incidencias'!S$5:S$200,"Raúl",'Registro Incidencias'!AE$5:AE$200,"Fallo del técnico")</f>
        <v>0</v>
      </c>
      <c r="I47" s="33">
        <f>COUNTIFS('Registro Incidencias'!B$5:B$200,"&gt;="&amp;DATE(2026,6,1),'Registro Incidencias'!B$5:B$200,"&lt;="&amp;DATE(2026,6+1,0),'Registro Incidencias'!S$5:S$200,"Raúl",'Registro Incidencias'!AE$5:AE$200,"Falta de material")</f>
        <v>0</v>
      </c>
      <c r="J47" s="33">
        <f>COUNTIFS('Registro Incidencias'!B$5:B$200,"&gt;="&amp;DATE(2026,6,1),'Registro Incidencias'!B$5:B$200,"&lt;="&amp;DATE(2026,6+1,0),'Registro Incidencias'!S$5:S$200,"Raúl",'Registro Incidencias'!AE$5:AE$200,"Causa del cliente")</f>
        <v>0</v>
      </c>
      <c r="K47" s="39">
        <f>SUMIFS('Registro Incidencias'!AQ$5:AQ$200,'Registro Incidencias'!B$5:B$200,"&gt;="&amp;DATE(2026,6,1),'Registro Incidencias'!B$5:B$200,"&lt;="&amp;DATE(2026,6+1,0),'Registro Incidencias'!S$5:S$200,"Raúl")</f>
        <v>0</v>
      </c>
      <c r="L47" s="39">
        <f>SUMIFS('Registro Incidencias'!AR$5:AR$200,'Registro Incidencias'!B$5:B$200,"&gt;="&amp;DATE(2026,6,1),'Registro Incidencias'!B$5:B$200,"&lt;="&amp;DATE(2026,6+1,0),'Registro Incidencias'!S$5:S$200,"Raúl")</f>
        <v>0</v>
      </c>
      <c r="M47" s="39">
        <f>SUMIFS('Registro Incidencias'!AG$5:AG$200,'Registro Incidencias'!B$5:B$200,"&gt;="&amp;DATE(2026,6,1),'Registro Incidencias'!B$5:B$200,"&lt;="&amp;DATE(2026,6+1,0),'Registro Incidencias'!S$5:S$200,"Raúl")</f>
        <v>0</v>
      </c>
      <c r="N47" s="117">
        <f t="shared" si="6"/>
        <v>0</v>
      </c>
      <c r="O47" s="33">
        <f>SUMIFS('Registro Incidencias'!X$5:X$200,'Registro Incidencias'!B$5:B$200,"&gt;="&amp;DATE(2026,6,1),'Registro Incidencias'!B$5:B$200,"&lt;="&amp;DATE(2026,6+1,0),'Registro Incidencias'!S$5:S$200,"Raúl")</f>
        <v>0</v>
      </c>
      <c r="P47" s="41">
        <f>IFERROR(AVERAGEIFS('Registro Incidencias'!AO$5:AO$200,'Registro Incidencias'!B$5:B$200,"&gt;="&amp;DATE(2026,6,1),'Registro Incidencias'!B$5:B$200,"&lt;="&amp;DATE(2026,6+1,0),'Registro Incidencias'!S$5:S$200,"Raúl"),0)</f>
        <v>0</v>
      </c>
      <c r="Q47" s="107">
        <f t="shared" si="7"/>
        <v>0</v>
      </c>
      <c r="R47" s="41">
        <f>IFERROR(D47/DAY(DATE(2026,6+1,0)),0)</f>
        <v>0</v>
      </c>
    </row>
    <row r="48" spans="1:18" x14ac:dyDescent="0.25">
      <c r="A48" s="22"/>
      <c r="B48" s="108" t="s">
        <v>78</v>
      </c>
      <c r="C48" s="28">
        <v>17.5</v>
      </c>
      <c r="D48" s="22">
        <f>COUNTIFS('Registro Incidencias'!B$5:B$200,"&gt;="&amp;DATE(2026,6,1),'Registro Incidencias'!B$5:B$200,"&lt;="&amp;DATE(2026,6+1,0),'Registro Incidencias'!S$5:S$200,"Juan Luis")</f>
        <v>0</v>
      </c>
      <c r="E48" s="22">
        <f>COUNTIFS('Registro Incidencias'!B$5:B$200,"&gt;="&amp;DATE(2026,6,1),'Registro Incidencias'!B$5:B$200,"&lt;="&amp;DATE(2026,6+1,0),'Registro Incidencias'!S$5:S$200,"Juan Luis",'Registro Incidencias'!AK$5:AK$200,"*Resuelta*")+COUNTIFS('Registro Incidencias'!B$5:B$200,"&gt;="&amp;DATE(2026,6,1),'Registro Incidencias'!B$5:B$200,"&lt;="&amp;DATE(2026,6+1,0),'Registro Incidencias'!S$5:S$200,"Juan Luis",'Registro Incidencias'!AK$5:AK$200,"*Cerrada*")</f>
        <v>0</v>
      </c>
      <c r="F48" s="109">
        <f t="shared" si="5"/>
        <v>0</v>
      </c>
      <c r="G48" s="22">
        <f>COUNTIFS('Registro Incidencias'!B$5:B$200,"&gt;="&amp;DATE(2026,6,1),'Registro Incidencias'!B$5:B$200,"&lt;="&amp;DATE(2026,6+1,0),'Registro Incidencias'!S$5:S$200,"Juan Luis",'Registro Incidencias'!AD$5:AD$200,"&gt;1")</f>
        <v>0</v>
      </c>
      <c r="H48" s="22">
        <f>COUNTIFS('Registro Incidencias'!B$5:B$200,"&gt;="&amp;DATE(2026,6,1),'Registro Incidencias'!B$5:B$200,"&lt;="&amp;DATE(2026,6+1,0),'Registro Incidencias'!S$5:S$200,"Juan Luis",'Registro Incidencias'!AE$5:AE$200,"Fallo del técnico")</f>
        <v>0</v>
      </c>
      <c r="I48" s="22">
        <f>COUNTIFS('Registro Incidencias'!B$5:B$200,"&gt;="&amp;DATE(2026,6,1),'Registro Incidencias'!B$5:B$200,"&lt;="&amp;DATE(2026,6+1,0),'Registro Incidencias'!S$5:S$200,"Juan Luis",'Registro Incidencias'!AE$5:AE$200,"Falta de material")</f>
        <v>0</v>
      </c>
      <c r="J48" s="22">
        <f>COUNTIFS('Registro Incidencias'!B$5:B$200,"&gt;="&amp;DATE(2026,6,1),'Registro Incidencias'!B$5:B$200,"&lt;="&amp;DATE(2026,6+1,0),'Registro Incidencias'!S$5:S$200,"Juan Luis",'Registro Incidencias'!AE$5:AE$200,"Causa del cliente")</f>
        <v>0</v>
      </c>
      <c r="K48" s="28">
        <f>SUMIFS('Registro Incidencias'!AQ$5:AQ$200,'Registro Incidencias'!B$5:B$200,"&gt;="&amp;DATE(2026,6,1),'Registro Incidencias'!B$5:B$200,"&lt;="&amp;DATE(2026,6+1,0),'Registro Incidencias'!S$5:S$200,"Juan Luis")</f>
        <v>0</v>
      </c>
      <c r="L48" s="28">
        <f>SUMIFS('Registro Incidencias'!AR$5:AR$200,'Registro Incidencias'!B$5:B$200,"&gt;="&amp;DATE(2026,6,1),'Registro Incidencias'!B$5:B$200,"&lt;="&amp;DATE(2026,6+1,0),'Registro Incidencias'!S$5:S$200,"Juan Luis")</f>
        <v>0</v>
      </c>
      <c r="M48" s="28">
        <f>SUMIFS('Registro Incidencias'!AG$5:AG$200,'Registro Incidencias'!B$5:B$200,"&gt;="&amp;DATE(2026,6,1),'Registro Incidencias'!B$5:B$200,"&lt;="&amp;DATE(2026,6+1,0),'Registro Incidencias'!S$5:S$200,"Juan Luis")</f>
        <v>0</v>
      </c>
      <c r="N48" s="119">
        <f t="shared" si="6"/>
        <v>0</v>
      </c>
      <c r="O48" s="22">
        <f>SUMIFS('Registro Incidencias'!X$5:X$200,'Registro Incidencias'!B$5:B$200,"&gt;="&amp;DATE(2026,6,1),'Registro Incidencias'!B$5:B$200,"&lt;="&amp;DATE(2026,6+1,0),'Registro Incidencias'!S$5:S$200,"Juan Luis")</f>
        <v>0</v>
      </c>
      <c r="P48" s="30">
        <f>IFERROR(AVERAGEIFS('Registro Incidencias'!AO$5:AO$200,'Registro Incidencias'!B$5:B$200,"&gt;="&amp;DATE(2026,6,1),'Registro Incidencias'!B$5:B$200,"&lt;="&amp;DATE(2026,6+1,0),'Registro Incidencias'!S$5:S$200,"Juan Luis"),0)</f>
        <v>0</v>
      </c>
      <c r="Q48" s="109">
        <f t="shared" si="7"/>
        <v>0</v>
      </c>
      <c r="R48" s="30">
        <f>IFERROR(D48/DAY(DATE(2026,6+1,0)),0)</f>
        <v>0</v>
      </c>
    </row>
    <row r="49" spans="1:18" x14ac:dyDescent="0.25">
      <c r="A49" s="33"/>
      <c r="B49" s="106" t="s">
        <v>79</v>
      </c>
      <c r="C49" s="39">
        <v>13.5</v>
      </c>
      <c r="D49" s="33">
        <f>COUNTIFS('Registro Incidencias'!B$5:B$200,"&gt;="&amp;DATE(2026,6,1),'Registro Incidencias'!B$5:B$200,"&lt;="&amp;DATE(2026,6+1,0),'Registro Incidencias'!S$5:S$200,"Paco")</f>
        <v>0</v>
      </c>
      <c r="E49" s="33">
        <f>COUNTIFS('Registro Incidencias'!B$5:B$200,"&gt;="&amp;DATE(2026,6,1),'Registro Incidencias'!B$5:B$200,"&lt;="&amp;DATE(2026,6+1,0),'Registro Incidencias'!S$5:S$200,"Paco",'Registro Incidencias'!AK$5:AK$200,"*Resuelta*")+COUNTIFS('Registro Incidencias'!B$5:B$200,"&gt;="&amp;DATE(2026,6,1),'Registro Incidencias'!B$5:B$200,"&lt;="&amp;DATE(2026,6+1,0),'Registro Incidencias'!S$5:S$200,"Paco",'Registro Incidencias'!AK$5:AK$200,"*Cerrada*")</f>
        <v>0</v>
      </c>
      <c r="F49" s="107">
        <f t="shared" si="5"/>
        <v>0</v>
      </c>
      <c r="G49" s="33">
        <f>COUNTIFS('Registro Incidencias'!B$5:B$200,"&gt;="&amp;DATE(2026,6,1),'Registro Incidencias'!B$5:B$200,"&lt;="&amp;DATE(2026,6+1,0),'Registro Incidencias'!S$5:S$200,"Paco",'Registro Incidencias'!AD$5:AD$200,"&gt;1")</f>
        <v>0</v>
      </c>
      <c r="H49" s="33">
        <f>COUNTIFS('Registro Incidencias'!B$5:B$200,"&gt;="&amp;DATE(2026,6,1),'Registro Incidencias'!B$5:B$200,"&lt;="&amp;DATE(2026,6+1,0),'Registro Incidencias'!S$5:S$200,"Paco",'Registro Incidencias'!AE$5:AE$200,"Fallo del técnico")</f>
        <v>0</v>
      </c>
      <c r="I49" s="33">
        <f>COUNTIFS('Registro Incidencias'!B$5:B$200,"&gt;="&amp;DATE(2026,6,1),'Registro Incidencias'!B$5:B$200,"&lt;="&amp;DATE(2026,6+1,0),'Registro Incidencias'!S$5:S$200,"Paco",'Registro Incidencias'!AE$5:AE$200,"Falta de material")</f>
        <v>0</v>
      </c>
      <c r="J49" s="33">
        <f>COUNTIFS('Registro Incidencias'!B$5:B$200,"&gt;="&amp;DATE(2026,6,1),'Registro Incidencias'!B$5:B$200,"&lt;="&amp;DATE(2026,6+1,0),'Registro Incidencias'!S$5:S$200,"Paco",'Registro Incidencias'!AE$5:AE$200,"Causa del cliente")</f>
        <v>0</v>
      </c>
      <c r="K49" s="39">
        <f>SUMIFS('Registro Incidencias'!AQ$5:AQ$200,'Registro Incidencias'!B$5:B$200,"&gt;="&amp;DATE(2026,6,1),'Registro Incidencias'!B$5:B$200,"&lt;="&amp;DATE(2026,6+1,0),'Registro Incidencias'!S$5:S$200,"Paco")</f>
        <v>0</v>
      </c>
      <c r="L49" s="39">
        <f>SUMIFS('Registro Incidencias'!AR$5:AR$200,'Registro Incidencias'!B$5:B$200,"&gt;="&amp;DATE(2026,6,1),'Registro Incidencias'!B$5:B$200,"&lt;="&amp;DATE(2026,6+1,0),'Registro Incidencias'!S$5:S$200,"Paco")</f>
        <v>0</v>
      </c>
      <c r="M49" s="39">
        <f>SUMIFS('Registro Incidencias'!AG$5:AG$200,'Registro Incidencias'!B$5:B$200,"&gt;="&amp;DATE(2026,6,1),'Registro Incidencias'!B$5:B$200,"&lt;="&amp;DATE(2026,6+1,0),'Registro Incidencias'!S$5:S$200,"Paco")</f>
        <v>0</v>
      </c>
      <c r="N49" s="117">
        <f t="shared" si="6"/>
        <v>0</v>
      </c>
      <c r="O49" s="33">
        <f>SUMIFS('Registro Incidencias'!X$5:X$200,'Registro Incidencias'!B$5:B$200,"&gt;="&amp;DATE(2026,6,1),'Registro Incidencias'!B$5:B$200,"&lt;="&amp;DATE(2026,6+1,0),'Registro Incidencias'!S$5:S$200,"Paco")</f>
        <v>0</v>
      </c>
      <c r="P49" s="41">
        <f>IFERROR(AVERAGEIFS('Registro Incidencias'!AO$5:AO$200,'Registro Incidencias'!B$5:B$200,"&gt;="&amp;DATE(2026,6,1),'Registro Incidencias'!B$5:B$200,"&lt;="&amp;DATE(2026,6+1,0),'Registro Incidencias'!S$5:S$200,"Paco"),0)</f>
        <v>0</v>
      </c>
      <c r="Q49" s="107">
        <f t="shared" si="7"/>
        <v>0</v>
      </c>
      <c r="R49" s="41">
        <f>IFERROR(D49/DAY(DATE(2026,6+1,0)),0)</f>
        <v>0</v>
      </c>
    </row>
    <row r="50" spans="1:18" x14ac:dyDescent="0.25">
      <c r="A50" s="22"/>
      <c r="B50" s="108" t="s">
        <v>80</v>
      </c>
      <c r="C50" s="28">
        <v>18.899999999999999</v>
      </c>
      <c r="D50" s="22">
        <f>COUNTIFS('Registro Incidencias'!B$5:B$200,"&gt;="&amp;DATE(2026,6,1),'Registro Incidencias'!B$5:B$200,"&lt;="&amp;DATE(2026,6+1,0),'Registro Incidencias'!S$5:S$200,"Juan Manuel")</f>
        <v>0</v>
      </c>
      <c r="E50" s="22">
        <f>COUNTIFS('Registro Incidencias'!B$5:B$200,"&gt;="&amp;DATE(2026,6,1),'Registro Incidencias'!B$5:B$200,"&lt;="&amp;DATE(2026,6+1,0),'Registro Incidencias'!S$5:S$200,"Juan Manuel",'Registro Incidencias'!AK$5:AK$200,"*Resuelta*")+COUNTIFS('Registro Incidencias'!B$5:B$200,"&gt;="&amp;DATE(2026,6,1),'Registro Incidencias'!B$5:B$200,"&lt;="&amp;DATE(2026,6+1,0),'Registro Incidencias'!S$5:S$200,"Juan Manuel",'Registro Incidencias'!AK$5:AK$200,"*Cerrada*")</f>
        <v>0</v>
      </c>
      <c r="F50" s="109">
        <f t="shared" si="5"/>
        <v>0</v>
      </c>
      <c r="G50" s="22">
        <f>COUNTIFS('Registro Incidencias'!B$5:B$200,"&gt;="&amp;DATE(2026,6,1),'Registro Incidencias'!B$5:B$200,"&lt;="&amp;DATE(2026,6+1,0),'Registro Incidencias'!S$5:S$200,"Juan Manuel",'Registro Incidencias'!AD$5:AD$200,"&gt;1")</f>
        <v>0</v>
      </c>
      <c r="H50" s="22">
        <f>COUNTIFS('Registro Incidencias'!B$5:B$200,"&gt;="&amp;DATE(2026,6,1),'Registro Incidencias'!B$5:B$200,"&lt;="&amp;DATE(2026,6+1,0),'Registro Incidencias'!S$5:S$200,"Juan Manuel",'Registro Incidencias'!AE$5:AE$200,"Fallo del técnico")</f>
        <v>0</v>
      </c>
      <c r="I50" s="22">
        <f>COUNTIFS('Registro Incidencias'!B$5:B$200,"&gt;="&amp;DATE(2026,6,1),'Registro Incidencias'!B$5:B$200,"&lt;="&amp;DATE(2026,6+1,0),'Registro Incidencias'!S$5:S$200,"Juan Manuel",'Registro Incidencias'!AE$5:AE$200,"Falta de material")</f>
        <v>0</v>
      </c>
      <c r="J50" s="22">
        <f>COUNTIFS('Registro Incidencias'!B$5:B$200,"&gt;="&amp;DATE(2026,6,1),'Registro Incidencias'!B$5:B$200,"&lt;="&amp;DATE(2026,6+1,0),'Registro Incidencias'!S$5:S$200,"Juan Manuel",'Registro Incidencias'!AE$5:AE$200,"Causa del cliente")</f>
        <v>0</v>
      </c>
      <c r="K50" s="28">
        <f>SUMIFS('Registro Incidencias'!AQ$5:AQ$200,'Registro Incidencias'!B$5:B$200,"&gt;="&amp;DATE(2026,6,1),'Registro Incidencias'!B$5:B$200,"&lt;="&amp;DATE(2026,6+1,0),'Registro Incidencias'!S$5:S$200,"Juan Manuel")</f>
        <v>0</v>
      </c>
      <c r="L50" s="28">
        <f>SUMIFS('Registro Incidencias'!AR$5:AR$200,'Registro Incidencias'!B$5:B$200,"&gt;="&amp;DATE(2026,6,1),'Registro Incidencias'!B$5:B$200,"&lt;="&amp;DATE(2026,6+1,0),'Registro Incidencias'!S$5:S$200,"Juan Manuel")</f>
        <v>0</v>
      </c>
      <c r="M50" s="28">
        <f>SUMIFS('Registro Incidencias'!AG$5:AG$200,'Registro Incidencias'!B$5:B$200,"&gt;="&amp;DATE(2026,6,1),'Registro Incidencias'!B$5:B$200,"&lt;="&amp;DATE(2026,6+1,0),'Registro Incidencias'!S$5:S$200,"Juan Manuel")</f>
        <v>0</v>
      </c>
      <c r="N50" s="119">
        <f t="shared" si="6"/>
        <v>0</v>
      </c>
      <c r="O50" s="22">
        <f>SUMIFS('Registro Incidencias'!X$5:X$200,'Registro Incidencias'!B$5:B$200,"&gt;="&amp;DATE(2026,6,1),'Registro Incidencias'!B$5:B$200,"&lt;="&amp;DATE(2026,6+1,0),'Registro Incidencias'!S$5:S$200,"Juan Manuel")</f>
        <v>0</v>
      </c>
      <c r="P50" s="30">
        <f>IFERROR(AVERAGEIFS('Registro Incidencias'!AO$5:AO$200,'Registro Incidencias'!B$5:B$200,"&gt;="&amp;DATE(2026,6,1),'Registro Incidencias'!B$5:B$200,"&lt;="&amp;DATE(2026,6+1,0),'Registro Incidencias'!S$5:S$200,"Juan Manuel"),0)</f>
        <v>0</v>
      </c>
      <c r="Q50" s="109">
        <f t="shared" si="7"/>
        <v>0</v>
      </c>
      <c r="R50" s="30">
        <f>IFERROR(D50/DAY(DATE(2026,6+1,0)),0)</f>
        <v>0</v>
      </c>
    </row>
    <row r="51" spans="1:18" x14ac:dyDescent="0.25">
      <c r="A51" s="33"/>
      <c r="B51" s="106" t="s">
        <v>81</v>
      </c>
      <c r="C51" s="39">
        <v>13.5</v>
      </c>
      <c r="D51" s="33">
        <f>COUNTIFS('Registro Incidencias'!B$5:B$200,"&gt;="&amp;DATE(2026,6,1),'Registro Incidencias'!B$5:B$200,"&lt;="&amp;DATE(2026,6+1,0),'Registro Incidencias'!S$5:S$200,"Adrián")</f>
        <v>0</v>
      </c>
      <c r="E51" s="33">
        <f>COUNTIFS('Registro Incidencias'!B$5:B$200,"&gt;="&amp;DATE(2026,6,1),'Registro Incidencias'!B$5:B$200,"&lt;="&amp;DATE(2026,6+1,0),'Registro Incidencias'!S$5:S$200,"Adrián",'Registro Incidencias'!AK$5:AK$200,"*Resuelta*")+COUNTIFS('Registro Incidencias'!B$5:B$200,"&gt;="&amp;DATE(2026,6,1),'Registro Incidencias'!B$5:B$200,"&lt;="&amp;DATE(2026,6+1,0),'Registro Incidencias'!S$5:S$200,"Adrián",'Registro Incidencias'!AK$5:AK$200,"*Cerrada*")</f>
        <v>0</v>
      </c>
      <c r="F51" s="107">
        <f t="shared" si="5"/>
        <v>0</v>
      </c>
      <c r="G51" s="33">
        <f>COUNTIFS('Registro Incidencias'!B$5:B$200,"&gt;="&amp;DATE(2026,6,1),'Registro Incidencias'!B$5:B$200,"&lt;="&amp;DATE(2026,6+1,0),'Registro Incidencias'!S$5:S$200,"Adrián",'Registro Incidencias'!AD$5:AD$200,"&gt;1")</f>
        <v>0</v>
      </c>
      <c r="H51" s="33">
        <f>COUNTIFS('Registro Incidencias'!B$5:B$200,"&gt;="&amp;DATE(2026,6,1),'Registro Incidencias'!B$5:B$200,"&lt;="&amp;DATE(2026,6+1,0),'Registro Incidencias'!S$5:S$200,"Adrián",'Registro Incidencias'!AE$5:AE$200,"Fallo del técnico")</f>
        <v>0</v>
      </c>
      <c r="I51" s="33">
        <f>COUNTIFS('Registro Incidencias'!B$5:B$200,"&gt;="&amp;DATE(2026,6,1),'Registro Incidencias'!B$5:B$200,"&lt;="&amp;DATE(2026,6+1,0),'Registro Incidencias'!S$5:S$200,"Adrián",'Registro Incidencias'!AE$5:AE$200,"Falta de material")</f>
        <v>0</v>
      </c>
      <c r="J51" s="33">
        <f>COUNTIFS('Registro Incidencias'!B$5:B$200,"&gt;="&amp;DATE(2026,6,1),'Registro Incidencias'!B$5:B$200,"&lt;="&amp;DATE(2026,6+1,0),'Registro Incidencias'!S$5:S$200,"Adrián",'Registro Incidencias'!AE$5:AE$200,"Causa del cliente")</f>
        <v>0</v>
      </c>
      <c r="K51" s="39">
        <f>SUMIFS('Registro Incidencias'!AQ$5:AQ$200,'Registro Incidencias'!B$5:B$200,"&gt;="&amp;DATE(2026,6,1),'Registro Incidencias'!B$5:B$200,"&lt;="&amp;DATE(2026,6+1,0),'Registro Incidencias'!S$5:S$200,"Adrián")</f>
        <v>0</v>
      </c>
      <c r="L51" s="39">
        <f>SUMIFS('Registro Incidencias'!AR$5:AR$200,'Registro Incidencias'!B$5:B$200,"&gt;="&amp;DATE(2026,6,1),'Registro Incidencias'!B$5:B$200,"&lt;="&amp;DATE(2026,6+1,0),'Registro Incidencias'!S$5:S$200,"Adrián")</f>
        <v>0</v>
      </c>
      <c r="M51" s="39">
        <f>SUMIFS('Registro Incidencias'!AG$5:AG$200,'Registro Incidencias'!B$5:B$200,"&gt;="&amp;DATE(2026,6,1),'Registro Incidencias'!B$5:B$200,"&lt;="&amp;DATE(2026,6+1,0),'Registro Incidencias'!S$5:S$200,"Adrián")</f>
        <v>0</v>
      </c>
      <c r="N51" s="117">
        <f t="shared" si="6"/>
        <v>0</v>
      </c>
      <c r="O51" s="33">
        <f>SUMIFS('Registro Incidencias'!X$5:X$200,'Registro Incidencias'!B$5:B$200,"&gt;="&amp;DATE(2026,6,1),'Registro Incidencias'!B$5:B$200,"&lt;="&amp;DATE(2026,6+1,0),'Registro Incidencias'!S$5:S$200,"Adrián")</f>
        <v>0</v>
      </c>
      <c r="P51" s="41">
        <f>IFERROR(AVERAGEIFS('Registro Incidencias'!AO$5:AO$200,'Registro Incidencias'!B$5:B$200,"&gt;="&amp;DATE(2026,6,1),'Registro Incidencias'!B$5:B$200,"&lt;="&amp;DATE(2026,6+1,0),'Registro Incidencias'!S$5:S$200,"Adrián"),0)</f>
        <v>0</v>
      </c>
      <c r="Q51" s="107">
        <f t="shared" si="7"/>
        <v>0</v>
      </c>
      <c r="R51" s="41">
        <f>IFERROR(D51/DAY(DATE(2026,6+1,0)),0)</f>
        <v>0</v>
      </c>
    </row>
    <row r="52" spans="1:18" x14ac:dyDescent="0.25">
      <c r="A52" s="106" t="s">
        <v>272</v>
      </c>
      <c r="B52" s="106" t="s">
        <v>77</v>
      </c>
      <c r="C52" s="39">
        <v>15.8</v>
      </c>
      <c r="D52" s="33">
        <f>COUNTIFS('Registro Incidencias'!B$5:B$200,"&gt;="&amp;DATE(2026,7,1),'Registro Incidencias'!B$5:B$200,"&lt;="&amp;DATE(2026,7+1,0),'Registro Incidencias'!S$5:S$200,"Raúl")</f>
        <v>0</v>
      </c>
      <c r="E52" s="33">
        <f>COUNTIFS('Registro Incidencias'!B$5:B$200,"&gt;="&amp;DATE(2026,7,1),'Registro Incidencias'!B$5:B$200,"&lt;="&amp;DATE(2026,7+1,0),'Registro Incidencias'!S$5:S$200,"Raúl",'Registro Incidencias'!AK$5:AK$200,"*Resuelta*")+COUNTIFS('Registro Incidencias'!B$5:B$200,"&gt;="&amp;DATE(2026,7,1),'Registro Incidencias'!B$5:B$200,"&lt;="&amp;DATE(2026,7+1,0),'Registro Incidencias'!S$5:S$200,"Raúl",'Registro Incidencias'!AK$5:AK$200,"*Cerrada*")</f>
        <v>0</v>
      </c>
      <c r="F52" s="107">
        <f t="shared" si="5"/>
        <v>0</v>
      </c>
      <c r="G52" s="33">
        <f>COUNTIFS('Registro Incidencias'!B$5:B$200,"&gt;="&amp;DATE(2026,7,1),'Registro Incidencias'!B$5:B$200,"&lt;="&amp;DATE(2026,7+1,0),'Registro Incidencias'!S$5:S$200,"Raúl",'Registro Incidencias'!AD$5:AD$200,"&gt;1")</f>
        <v>0</v>
      </c>
      <c r="H52" s="33">
        <f>COUNTIFS('Registro Incidencias'!B$5:B$200,"&gt;="&amp;DATE(2026,7,1),'Registro Incidencias'!B$5:B$200,"&lt;="&amp;DATE(2026,7+1,0),'Registro Incidencias'!S$5:S$200,"Raúl",'Registro Incidencias'!AE$5:AE$200,"Fallo del técnico")</f>
        <v>0</v>
      </c>
      <c r="I52" s="33">
        <f>COUNTIFS('Registro Incidencias'!B$5:B$200,"&gt;="&amp;DATE(2026,7,1),'Registro Incidencias'!B$5:B$200,"&lt;="&amp;DATE(2026,7+1,0),'Registro Incidencias'!S$5:S$200,"Raúl",'Registro Incidencias'!AE$5:AE$200,"Falta de material")</f>
        <v>0</v>
      </c>
      <c r="J52" s="33">
        <f>COUNTIFS('Registro Incidencias'!B$5:B$200,"&gt;="&amp;DATE(2026,7,1),'Registro Incidencias'!B$5:B$200,"&lt;="&amp;DATE(2026,7+1,0),'Registro Incidencias'!S$5:S$200,"Raúl",'Registro Incidencias'!AE$5:AE$200,"Causa del cliente")</f>
        <v>0</v>
      </c>
      <c r="K52" s="39">
        <f>SUMIFS('Registro Incidencias'!AQ$5:AQ$200,'Registro Incidencias'!B$5:B$200,"&gt;="&amp;DATE(2026,7,1),'Registro Incidencias'!B$5:B$200,"&lt;="&amp;DATE(2026,7+1,0),'Registro Incidencias'!S$5:S$200,"Raúl")</f>
        <v>0</v>
      </c>
      <c r="L52" s="39">
        <f>SUMIFS('Registro Incidencias'!AR$5:AR$200,'Registro Incidencias'!B$5:B$200,"&gt;="&amp;DATE(2026,7,1),'Registro Incidencias'!B$5:B$200,"&lt;="&amp;DATE(2026,7+1,0),'Registro Incidencias'!S$5:S$200,"Raúl")</f>
        <v>0</v>
      </c>
      <c r="M52" s="39">
        <f>SUMIFS('Registro Incidencias'!AG$5:AG$200,'Registro Incidencias'!B$5:B$200,"&gt;="&amp;DATE(2026,7,1),'Registro Incidencias'!B$5:B$200,"&lt;="&amp;DATE(2026,7+1,0),'Registro Incidencias'!S$5:S$200,"Raúl")</f>
        <v>0</v>
      </c>
      <c r="N52" s="117">
        <f t="shared" si="6"/>
        <v>0</v>
      </c>
      <c r="O52" s="33">
        <f>SUMIFS('Registro Incidencias'!X$5:X$200,'Registro Incidencias'!B$5:B$200,"&gt;="&amp;DATE(2026,7,1),'Registro Incidencias'!B$5:B$200,"&lt;="&amp;DATE(2026,7+1,0),'Registro Incidencias'!S$5:S$200,"Raúl")</f>
        <v>0</v>
      </c>
      <c r="P52" s="41">
        <f>IFERROR(AVERAGEIFS('Registro Incidencias'!AO$5:AO$200,'Registro Incidencias'!B$5:B$200,"&gt;="&amp;DATE(2026,7,1),'Registro Incidencias'!B$5:B$200,"&lt;="&amp;DATE(2026,7+1,0),'Registro Incidencias'!S$5:S$200,"Raúl"),0)</f>
        <v>0</v>
      </c>
      <c r="Q52" s="107">
        <f t="shared" si="7"/>
        <v>0</v>
      </c>
      <c r="R52" s="41">
        <f>IFERROR(D52/DAY(DATE(2026,7+1,0)),0)</f>
        <v>0</v>
      </c>
    </row>
    <row r="53" spans="1:18" x14ac:dyDescent="0.25">
      <c r="A53" s="22"/>
      <c r="B53" s="108" t="s">
        <v>78</v>
      </c>
      <c r="C53" s="28">
        <v>17.5</v>
      </c>
      <c r="D53" s="22">
        <f>COUNTIFS('Registro Incidencias'!B$5:B$200,"&gt;="&amp;DATE(2026,7,1),'Registro Incidencias'!B$5:B$200,"&lt;="&amp;DATE(2026,7+1,0),'Registro Incidencias'!S$5:S$200,"Juan Luis")</f>
        <v>0</v>
      </c>
      <c r="E53" s="22">
        <f>COUNTIFS('Registro Incidencias'!B$5:B$200,"&gt;="&amp;DATE(2026,7,1),'Registro Incidencias'!B$5:B$200,"&lt;="&amp;DATE(2026,7+1,0),'Registro Incidencias'!S$5:S$200,"Juan Luis",'Registro Incidencias'!AK$5:AK$200,"*Resuelta*")+COUNTIFS('Registro Incidencias'!B$5:B$200,"&gt;="&amp;DATE(2026,7,1),'Registro Incidencias'!B$5:B$200,"&lt;="&amp;DATE(2026,7+1,0),'Registro Incidencias'!S$5:S$200,"Juan Luis",'Registro Incidencias'!AK$5:AK$200,"*Cerrada*")</f>
        <v>0</v>
      </c>
      <c r="F53" s="109">
        <f t="shared" si="5"/>
        <v>0</v>
      </c>
      <c r="G53" s="22">
        <f>COUNTIFS('Registro Incidencias'!B$5:B$200,"&gt;="&amp;DATE(2026,7,1),'Registro Incidencias'!B$5:B$200,"&lt;="&amp;DATE(2026,7+1,0),'Registro Incidencias'!S$5:S$200,"Juan Luis",'Registro Incidencias'!AD$5:AD$200,"&gt;1")</f>
        <v>0</v>
      </c>
      <c r="H53" s="22">
        <f>COUNTIFS('Registro Incidencias'!B$5:B$200,"&gt;="&amp;DATE(2026,7,1),'Registro Incidencias'!B$5:B$200,"&lt;="&amp;DATE(2026,7+1,0),'Registro Incidencias'!S$5:S$200,"Juan Luis",'Registro Incidencias'!AE$5:AE$200,"Fallo del técnico")</f>
        <v>0</v>
      </c>
      <c r="I53" s="22">
        <f>COUNTIFS('Registro Incidencias'!B$5:B$200,"&gt;="&amp;DATE(2026,7,1),'Registro Incidencias'!B$5:B$200,"&lt;="&amp;DATE(2026,7+1,0),'Registro Incidencias'!S$5:S$200,"Juan Luis",'Registro Incidencias'!AE$5:AE$200,"Falta de material")</f>
        <v>0</v>
      </c>
      <c r="J53" s="22">
        <f>COUNTIFS('Registro Incidencias'!B$5:B$200,"&gt;="&amp;DATE(2026,7,1),'Registro Incidencias'!B$5:B$200,"&lt;="&amp;DATE(2026,7+1,0),'Registro Incidencias'!S$5:S$200,"Juan Luis",'Registro Incidencias'!AE$5:AE$200,"Causa del cliente")</f>
        <v>0</v>
      </c>
      <c r="K53" s="28">
        <f>SUMIFS('Registro Incidencias'!AQ$5:AQ$200,'Registro Incidencias'!B$5:B$200,"&gt;="&amp;DATE(2026,7,1),'Registro Incidencias'!B$5:B$200,"&lt;="&amp;DATE(2026,7+1,0),'Registro Incidencias'!S$5:S$200,"Juan Luis")</f>
        <v>0</v>
      </c>
      <c r="L53" s="28">
        <f>SUMIFS('Registro Incidencias'!AR$5:AR$200,'Registro Incidencias'!B$5:B$200,"&gt;="&amp;DATE(2026,7,1),'Registro Incidencias'!B$5:B$200,"&lt;="&amp;DATE(2026,7+1,0),'Registro Incidencias'!S$5:S$200,"Juan Luis")</f>
        <v>0</v>
      </c>
      <c r="M53" s="28">
        <f>SUMIFS('Registro Incidencias'!AG$5:AG$200,'Registro Incidencias'!B$5:B$200,"&gt;="&amp;DATE(2026,7,1),'Registro Incidencias'!B$5:B$200,"&lt;="&amp;DATE(2026,7+1,0),'Registro Incidencias'!S$5:S$200,"Juan Luis")</f>
        <v>0</v>
      </c>
      <c r="N53" s="119">
        <f t="shared" si="6"/>
        <v>0</v>
      </c>
      <c r="O53" s="22">
        <f>SUMIFS('Registro Incidencias'!X$5:X$200,'Registro Incidencias'!B$5:B$200,"&gt;="&amp;DATE(2026,7,1),'Registro Incidencias'!B$5:B$200,"&lt;="&amp;DATE(2026,7+1,0),'Registro Incidencias'!S$5:S$200,"Juan Luis")</f>
        <v>0</v>
      </c>
      <c r="P53" s="30">
        <f>IFERROR(AVERAGEIFS('Registro Incidencias'!AO$5:AO$200,'Registro Incidencias'!B$5:B$200,"&gt;="&amp;DATE(2026,7,1),'Registro Incidencias'!B$5:B$200,"&lt;="&amp;DATE(2026,7+1,0),'Registro Incidencias'!S$5:S$200,"Juan Luis"),0)</f>
        <v>0</v>
      </c>
      <c r="Q53" s="109">
        <f t="shared" si="7"/>
        <v>0</v>
      </c>
      <c r="R53" s="30">
        <f>IFERROR(D53/DAY(DATE(2026,7+1,0)),0)</f>
        <v>0</v>
      </c>
    </row>
    <row r="54" spans="1:18" x14ac:dyDescent="0.25">
      <c r="A54" s="33"/>
      <c r="B54" s="106" t="s">
        <v>79</v>
      </c>
      <c r="C54" s="39">
        <v>13.5</v>
      </c>
      <c r="D54" s="33">
        <f>COUNTIFS('Registro Incidencias'!B$5:B$200,"&gt;="&amp;DATE(2026,7,1),'Registro Incidencias'!B$5:B$200,"&lt;="&amp;DATE(2026,7+1,0),'Registro Incidencias'!S$5:S$200,"Paco")</f>
        <v>0</v>
      </c>
      <c r="E54" s="33">
        <f>COUNTIFS('Registro Incidencias'!B$5:B$200,"&gt;="&amp;DATE(2026,7,1),'Registro Incidencias'!B$5:B$200,"&lt;="&amp;DATE(2026,7+1,0),'Registro Incidencias'!S$5:S$200,"Paco",'Registro Incidencias'!AK$5:AK$200,"*Resuelta*")+COUNTIFS('Registro Incidencias'!B$5:B$200,"&gt;="&amp;DATE(2026,7,1),'Registro Incidencias'!B$5:B$200,"&lt;="&amp;DATE(2026,7+1,0),'Registro Incidencias'!S$5:S$200,"Paco",'Registro Incidencias'!AK$5:AK$200,"*Cerrada*")</f>
        <v>0</v>
      </c>
      <c r="F54" s="107">
        <f t="shared" ref="F54:F85" si="8">IFERROR(E54/D54,0)</f>
        <v>0</v>
      </c>
      <c r="G54" s="33">
        <f>COUNTIFS('Registro Incidencias'!B$5:B$200,"&gt;="&amp;DATE(2026,7,1),'Registro Incidencias'!B$5:B$200,"&lt;="&amp;DATE(2026,7+1,0),'Registro Incidencias'!S$5:S$200,"Paco",'Registro Incidencias'!AD$5:AD$200,"&gt;1")</f>
        <v>0</v>
      </c>
      <c r="H54" s="33">
        <f>COUNTIFS('Registro Incidencias'!B$5:B$200,"&gt;="&amp;DATE(2026,7,1),'Registro Incidencias'!B$5:B$200,"&lt;="&amp;DATE(2026,7+1,0),'Registro Incidencias'!S$5:S$200,"Paco",'Registro Incidencias'!AE$5:AE$200,"Fallo del técnico")</f>
        <v>0</v>
      </c>
      <c r="I54" s="33">
        <f>COUNTIFS('Registro Incidencias'!B$5:B$200,"&gt;="&amp;DATE(2026,7,1),'Registro Incidencias'!B$5:B$200,"&lt;="&amp;DATE(2026,7+1,0),'Registro Incidencias'!S$5:S$200,"Paco",'Registro Incidencias'!AE$5:AE$200,"Falta de material")</f>
        <v>0</v>
      </c>
      <c r="J54" s="33">
        <f>COUNTIFS('Registro Incidencias'!B$5:B$200,"&gt;="&amp;DATE(2026,7,1),'Registro Incidencias'!B$5:B$200,"&lt;="&amp;DATE(2026,7+1,0),'Registro Incidencias'!S$5:S$200,"Paco",'Registro Incidencias'!AE$5:AE$200,"Causa del cliente")</f>
        <v>0</v>
      </c>
      <c r="K54" s="39">
        <f>SUMIFS('Registro Incidencias'!AQ$5:AQ$200,'Registro Incidencias'!B$5:B$200,"&gt;="&amp;DATE(2026,7,1),'Registro Incidencias'!B$5:B$200,"&lt;="&amp;DATE(2026,7+1,0),'Registro Incidencias'!S$5:S$200,"Paco")</f>
        <v>0</v>
      </c>
      <c r="L54" s="39">
        <f>SUMIFS('Registro Incidencias'!AR$5:AR$200,'Registro Incidencias'!B$5:B$200,"&gt;="&amp;DATE(2026,7,1),'Registro Incidencias'!B$5:B$200,"&lt;="&amp;DATE(2026,7+1,0),'Registro Incidencias'!S$5:S$200,"Paco")</f>
        <v>0</v>
      </c>
      <c r="M54" s="39">
        <f>SUMIFS('Registro Incidencias'!AG$5:AG$200,'Registro Incidencias'!B$5:B$200,"&gt;="&amp;DATE(2026,7,1),'Registro Incidencias'!B$5:B$200,"&lt;="&amp;DATE(2026,7+1,0),'Registro Incidencias'!S$5:S$200,"Paco")</f>
        <v>0</v>
      </c>
      <c r="N54" s="117">
        <f t="shared" ref="N54:N85" si="9">K54+L54+M54</f>
        <v>0</v>
      </c>
      <c r="O54" s="33">
        <f>SUMIFS('Registro Incidencias'!X$5:X$200,'Registro Incidencias'!B$5:B$200,"&gt;="&amp;DATE(2026,7,1),'Registro Incidencias'!B$5:B$200,"&lt;="&amp;DATE(2026,7+1,0),'Registro Incidencias'!S$5:S$200,"Paco")</f>
        <v>0</v>
      </c>
      <c r="P54" s="41">
        <f>IFERROR(AVERAGEIFS('Registro Incidencias'!AO$5:AO$200,'Registro Incidencias'!B$5:B$200,"&gt;="&amp;DATE(2026,7,1),'Registro Incidencias'!B$5:B$200,"&lt;="&amp;DATE(2026,7+1,0),'Registro Incidencias'!S$5:S$200,"Paco"),0)</f>
        <v>0</v>
      </c>
      <c r="Q54" s="107">
        <f t="shared" ref="Q54:Q81" si="10">IFERROR(1-G54/D54,0)</f>
        <v>0</v>
      </c>
      <c r="R54" s="41">
        <f>IFERROR(D54/DAY(DATE(2026,7+1,0)),0)</f>
        <v>0</v>
      </c>
    </row>
    <row r="55" spans="1:18" x14ac:dyDescent="0.25">
      <c r="A55" s="22"/>
      <c r="B55" s="108" t="s">
        <v>80</v>
      </c>
      <c r="C55" s="28">
        <v>18.899999999999999</v>
      </c>
      <c r="D55" s="22">
        <f>COUNTIFS('Registro Incidencias'!B$5:B$200,"&gt;="&amp;DATE(2026,7,1),'Registro Incidencias'!B$5:B$200,"&lt;="&amp;DATE(2026,7+1,0),'Registro Incidencias'!S$5:S$200,"Juan Manuel")</f>
        <v>0</v>
      </c>
      <c r="E55" s="22">
        <f>COUNTIFS('Registro Incidencias'!B$5:B$200,"&gt;="&amp;DATE(2026,7,1),'Registro Incidencias'!B$5:B$200,"&lt;="&amp;DATE(2026,7+1,0),'Registro Incidencias'!S$5:S$200,"Juan Manuel",'Registro Incidencias'!AK$5:AK$200,"*Resuelta*")+COUNTIFS('Registro Incidencias'!B$5:B$200,"&gt;="&amp;DATE(2026,7,1),'Registro Incidencias'!B$5:B$200,"&lt;="&amp;DATE(2026,7+1,0),'Registro Incidencias'!S$5:S$200,"Juan Manuel",'Registro Incidencias'!AK$5:AK$200,"*Cerrada*")</f>
        <v>0</v>
      </c>
      <c r="F55" s="109">
        <f t="shared" si="8"/>
        <v>0</v>
      </c>
      <c r="G55" s="22">
        <f>COUNTIFS('Registro Incidencias'!B$5:B$200,"&gt;="&amp;DATE(2026,7,1),'Registro Incidencias'!B$5:B$200,"&lt;="&amp;DATE(2026,7+1,0),'Registro Incidencias'!S$5:S$200,"Juan Manuel",'Registro Incidencias'!AD$5:AD$200,"&gt;1")</f>
        <v>0</v>
      </c>
      <c r="H55" s="22">
        <f>COUNTIFS('Registro Incidencias'!B$5:B$200,"&gt;="&amp;DATE(2026,7,1),'Registro Incidencias'!B$5:B$200,"&lt;="&amp;DATE(2026,7+1,0),'Registro Incidencias'!S$5:S$200,"Juan Manuel",'Registro Incidencias'!AE$5:AE$200,"Fallo del técnico")</f>
        <v>0</v>
      </c>
      <c r="I55" s="22">
        <f>COUNTIFS('Registro Incidencias'!B$5:B$200,"&gt;="&amp;DATE(2026,7,1),'Registro Incidencias'!B$5:B$200,"&lt;="&amp;DATE(2026,7+1,0),'Registro Incidencias'!S$5:S$200,"Juan Manuel",'Registro Incidencias'!AE$5:AE$200,"Falta de material")</f>
        <v>0</v>
      </c>
      <c r="J55" s="22">
        <f>COUNTIFS('Registro Incidencias'!B$5:B$200,"&gt;="&amp;DATE(2026,7,1),'Registro Incidencias'!B$5:B$200,"&lt;="&amp;DATE(2026,7+1,0),'Registro Incidencias'!S$5:S$200,"Juan Manuel",'Registro Incidencias'!AE$5:AE$200,"Causa del cliente")</f>
        <v>0</v>
      </c>
      <c r="K55" s="28">
        <f>SUMIFS('Registro Incidencias'!AQ$5:AQ$200,'Registro Incidencias'!B$5:B$200,"&gt;="&amp;DATE(2026,7,1),'Registro Incidencias'!B$5:B$200,"&lt;="&amp;DATE(2026,7+1,0),'Registro Incidencias'!S$5:S$200,"Juan Manuel")</f>
        <v>0</v>
      </c>
      <c r="L55" s="28">
        <f>SUMIFS('Registro Incidencias'!AR$5:AR$200,'Registro Incidencias'!B$5:B$200,"&gt;="&amp;DATE(2026,7,1),'Registro Incidencias'!B$5:B$200,"&lt;="&amp;DATE(2026,7+1,0),'Registro Incidencias'!S$5:S$200,"Juan Manuel")</f>
        <v>0</v>
      </c>
      <c r="M55" s="28">
        <f>SUMIFS('Registro Incidencias'!AG$5:AG$200,'Registro Incidencias'!B$5:B$200,"&gt;="&amp;DATE(2026,7,1),'Registro Incidencias'!B$5:B$200,"&lt;="&amp;DATE(2026,7+1,0),'Registro Incidencias'!S$5:S$200,"Juan Manuel")</f>
        <v>0</v>
      </c>
      <c r="N55" s="119">
        <f t="shared" si="9"/>
        <v>0</v>
      </c>
      <c r="O55" s="22">
        <f>SUMIFS('Registro Incidencias'!X$5:X$200,'Registro Incidencias'!B$5:B$200,"&gt;="&amp;DATE(2026,7,1),'Registro Incidencias'!B$5:B$200,"&lt;="&amp;DATE(2026,7+1,0),'Registro Incidencias'!S$5:S$200,"Juan Manuel")</f>
        <v>0</v>
      </c>
      <c r="P55" s="30">
        <f>IFERROR(AVERAGEIFS('Registro Incidencias'!AO$5:AO$200,'Registro Incidencias'!B$5:B$200,"&gt;="&amp;DATE(2026,7,1),'Registro Incidencias'!B$5:B$200,"&lt;="&amp;DATE(2026,7+1,0),'Registro Incidencias'!S$5:S$200,"Juan Manuel"),0)</f>
        <v>0</v>
      </c>
      <c r="Q55" s="109">
        <f t="shared" si="10"/>
        <v>0</v>
      </c>
      <c r="R55" s="30">
        <f>IFERROR(D55/DAY(DATE(2026,7+1,0)),0)</f>
        <v>0</v>
      </c>
    </row>
    <row r="56" spans="1:18" x14ac:dyDescent="0.25">
      <c r="A56" s="33"/>
      <c r="B56" s="106" t="s">
        <v>81</v>
      </c>
      <c r="C56" s="39">
        <v>13.5</v>
      </c>
      <c r="D56" s="33">
        <f>COUNTIFS('Registro Incidencias'!B$5:B$200,"&gt;="&amp;DATE(2026,7,1),'Registro Incidencias'!B$5:B$200,"&lt;="&amp;DATE(2026,7+1,0),'Registro Incidencias'!S$5:S$200,"Adrián")</f>
        <v>0</v>
      </c>
      <c r="E56" s="33">
        <f>COUNTIFS('Registro Incidencias'!B$5:B$200,"&gt;="&amp;DATE(2026,7,1),'Registro Incidencias'!B$5:B$200,"&lt;="&amp;DATE(2026,7+1,0),'Registro Incidencias'!S$5:S$200,"Adrián",'Registro Incidencias'!AK$5:AK$200,"*Resuelta*")+COUNTIFS('Registro Incidencias'!B$5:B$200,"&gt;="&amp;DATE(2026,7,1),'Registro Incidencias'!B$5:B$200,"&lt;="&amp;DATE(2026,7+1,0),'Registro Incidencias'!S$5:S$200,"Adrián",'Registro Incidencias'!AK$5:AK$200,"*Cerrada*")</f>
        <v>0</v>
      </c>
      <c r="F56" s="107">
        <f t="shared" si="8"/>
        <v>0</v>
      </c>
      <c r="G56" s="33">
        <f>COUNTIFS('Registro Incidencias'!B$5:B$200,"&gt;="&amp;DATE(2026,7,1),'Registro Incidencias'!B$5:B$200,"&lt;="&amp;DATE(2026,7+1,0),'Registro Incidencias'!S$5:S$200,"Adrián",'Registro Incidencias'!AD$5:AD$200,"&gt;1")</f>
        <v>0</v>
      </c>
      <c r="H56" s="33">
        <f>COUNTIFS('Registro Incidencias'!B$5:B$200,"&gt;="&amp;DATE(2026,7,1),'Registro Incidencias'!B$5:B$200,"&lt;="&amp;DATE(2026,7+1,0),'Registro Incidencias'!S$5:S$200,"Adrián",'Registro Incidencias'!AE$5:AE$200,"Fallo del técnico")</f>
        <v>0</v>
      </c>
      <c r="I56" s="33">
        <f>COUNTIFS('Registro Incidencias'!B$5:B$200,"&gt;="&amp;DATE(2026,7,1),'Registro Incidencias'!B$5:B$200,"&lt;="&amp;DATE(2026,7+1,0),'Registro Incidencias'!S$5:S$200,"Adrián",'Registro Incidencias'!AE$5:AE$200,"Falta de material")</f>
        <v>0</v>
      </c>
      <c r="J56" s="33">
        <f>COUNTIFS('Registro Incidencias'!B$5:B$200,"&gt;="&amp;DATE(2026,7,1),'Registro Incidencias'!B$5:B$200,"&lt;="&amp;DATE(2026,7+1,0),'Registro Incidencias'!S$5:S$200,"Adrián",'Registro Incidencias'!AE$5:AE$200,"Causa del cliente")</f>
        <v>0</v>
      </c>
      <c r="K56" s="39">
        <f>SUMIFS('Registro Incidencias'!AQ$5:AQ$200,'Registro Incidencias'!B$5:B$200,"&gt;="&amp;DATE(2026,7,1),'Registro Incidencias'!B$5:B$200,"&lt;="&amp;DATE(2026,7+1,0),'Registro Incidencias'!S$5:S$200,"Adrián")</f>
        <v>0</v>
      </c>
      <c r="L56" s="39">
        <f>SUMIFS('Registro Incidencias'!AR$5:AR$200,'Registro Incidencias'!B$5:B$200,"&gt;="&amp;DATE(2026,7,1),'Registro Incidencias'!B$5:B$200,"&lt;="&amp;DATE(2026,7+1,0),'Registro Incidencias'!S$5:S$200,"Adrián")</f>
        <v>0</v>
      </c>
      <c r="M56" s="39">
        <f>SUMIFS('Registro Incidencias'!AG$5:AG$200,'Registro Incidencias'!B$5:B$200,"&gt;="&amp;DATE(2026,7,1),'Registro Incidencias'!B$5:B$200,"&lt;="&amp;DATE(2026,7+1,0),'Registro Incidencias'!S$5:S$200,"Adrián")</f>
        <v>0</v>
      </c>
      <c r="N56" s="117">
        <f t="shared" si="9"/>
        <v>0</v>
      </c>
      <c r="O56" s="33">
        <f>SUMIFS('Registro Incidencias'!X$5:X$200,'Registro Incidencias'!B$5:B$200,"&gt;="&amp;DATE(2026,7,1),'Registro Incidencias'!B$5:B$200,"&lt;="&amp;DATE(2026,7+1,0),'Registro Incidencias'!S$5:S$200,"Adrián")</f>
        <v>0</v>
      </c>
      <c r="P56" s="41">
        <f>IFERROR(AVERAGEIFS('Registro Incidencias'!AO$5:AO$200,'Registro Incidencias'!B$5:B$200,"&gt;="&amp;DATE(2026,7,1),'Registro Incidencias'!B$5:B$200,"&lt;="&amp;DATE(2026,7+1,0),'Registro Incidencias'!S$5:S$200,"Adrián"),0)</f>
        <v>0</v>
      </c>
      <c r="Q56" s="107">
        <f t="shared" si="10"/>
        <v>0</v>
      </c>
      <c r="R56" s="41">
        <f>IFERROR(D56/DAY(DATE(2026,7+1,0)),0)</f>
        <v>0</v>
      </c>
    </row>
    <row r="57" spans="1:18" x14ac:dyDescent="0.25">
      <c r="A57" s="106" t="s">
        <v>273</v>
      </c>
      <c r="B57" s="106" t="s">
        <v>77</v>
      </c>
      <c r="C57" s="39">
        <v>15.8</v>
      </c>
      <c r="D57" s="33">
        <f>COUNTIFS('Registro Incidencias'!B$5:B$200,"&gt;="&amp;DATE(2026,8,1),'Registro Incidencias'!B$5:B$200,"&lt;="&amp;DATE(2026,8+1,0),'Registro Incidencias'!S$5:S$200,"Raúl")</f>
        <v>0</v>
      </c>
      <c r="E57" s="33">
        <f>COUNTIFS('Registro Incidencias'!B$5:B$200,"&gt;="&amp;DATE(2026,8,1),'Registro Incidencias'!B$5:B$200,"&lt;="&amp;DATE(2026,8+1,0),'Registro Incidencias'!S$5:S$200,"Raúl",'Registro Incidencias'!AK$5:AK$200,"*Resuelta*")+COUNTIFS('Registro Incidencias'!B$5:B$200,"&gt;="&amp;DATE(2026,8,1),'Registro Incidencias'!B$5:B$200,"&lt;="&amp;DATE(2026,8+1,0),'Registro Incidencias'!S$5:S$200,"Raúl",'Registro Incidencias'!AK$5:AK$200,"*Cerrada*")</f>
        <v>0</v>
      </c>
      <c r="F57" s="107">
        <f t="shared" si="8"/>
        <v>0</v>
      </c>
      <c r="G57" s="33">
        <f>COUNTIFS('Registro Incidencias'!B$5:B$200,"&gt;="&amp;DATE(2026,8,1),'Registro Incidencias'!B$5:B$200,"&lt;="&amp;DATE(2026,8+1,0),'Registro Incidencias'!S$5:S$200,"Raúl",'Registro Incidencias'!AD$5:AD$200,"&gt;1")</f>
        <v>0</v>
      </c>
      <c r="H57" s="33">
        <f>COUNTIFS('Registro Incidencias'!B$5:B$200,"&gt;="&amp;DATE(2026,8,1),'Registro Incidencias'!B$5:B$200,"&lt;="&amp;DATE(2026,8+1,0),'Registro Incidencias'!S$5:S$200,"Raúl",'Registro Incidencias'!AE$5:AE$200,"Fallo del técnico")</f>
        <v>0</v>
      </c>
      <c r="I57" s="33">
        <f>COUNTIFS('Registro Incidencias'!B$5:B$200,"&gt;="&amp;DATE(2026,8,1),'Registro Incidencias'!B$5:B$200,"&lt;="&amp;DATE(2026,8+1,0),'Registro Incidencias'!S$5:S$200,"Raúl",'Registro Incidencias'!AE$5:AE$200,"Falta de material")</f>
        <v>0</v>
      </c>
      <c r="J57" s="33">
        <f>COUNTIFS('Registro Incidencias'!B$5:B$200,"&gt;="&amp;DATE(2026,8,1),'Registro Incidencias'!B$5:B$200,"&lt;="&amp;DATE(2026,8+1,0),'Registro Incidencias'!S$5:S$200,"Raúl",'Registro Incidencias'!AE$5:AE$200,"Causa del cliente")</f>
        <v>0</v>
      </c>
      <c r="K57" s="39">
        <f>SUMIFS('Registro Incidencias'!AQ$5:AQ$200,'Registro Incidencias'!B$5:B$200,"&gt;="&amp;DATE(2026,8,1),'Registro Incidencias'!B$5:B$200,"&lt;="&amp;DATE(2026,8+1,0),'Registro Incidencias'!S$5:S$200,"Raúl")</f>
        <v>0</v>
      </c>
      <c r="L57" s="39">
        <f>SUMIFS('Registro Incidencias'!AR$5:AR$200,'Registro Incidencias'!B$5:B$200,"&gt;="&amp;DATE(2026,8,1),'Registro Incidencias'!B$5:B$200,"&lt;="&amp;DATE(2026,8+1,0),'Registro Incidencias'!S$5:S$200,"Raúl")</f>
        <v>0</v>
      </c>
      <c r="M57" s="39">
        <f>SUMIFS('Registro Incidencias'!AG$5:AG$200,'Registro Incidencias'!B$5:B$200,"&gt;="&amp;DATE(2026,8,1),'Registro Incidencias'!B$5:B$200,"&lt;="&amp;DATE(2026,8+1,0),'Registro Incidencias'!S$5:S$200,"Raúl")</f>
        <v>0</v>
      </c>
      <c r="N57" s="117">
        <f t="shared" si="9"/>
        <v>0</v>
      </c>
      <c r="O57" s="33">
        <f>SUMIFS('Registro Incidencias'!X$5:X$200,'Registro Incidencias'!B$5:B$200,"&gt;="&amp;DATE(2026,8,1),'Registro Incidencias'!B$5:B$200,"&lt;="&amp;DATE(2026,8+1,0),'Registro Incidencias'!S$5:S$200,"Raúl")</f>
        <v>0</v>
      </c>
      <c r="P57" s="41">
        <f>IFERROR(AVERAGEIFS('Registro Incidencias'!AO$5:AO$200,'Registro Incidencias'!B$5:B$200,"&gt;="&amp;DATE(2026,8,1),'Registro Incidencias'!B$5:B$200,"&lt;="&amp;DATE(2026,8+1,0),'Registro Incidencias'!S$5:S$200,"Raúl"),0)</f>
        <v>0</v>
      </c>
      <c r="Q57" s="107">
        <f t="shared" si="10"/>
        <v>0</v>
      </c>
      <c r="R57" s="41">
        <f>IFERROR(D57/DAY(DATE(2026,8+1,0)),0)</f>
        <v>0</v>
      </c>
    </row>
    <row r="58" spans="1:18" x14ac:dyDescent="0.25">
      <c r="A58" s="22"/>
      <c r="B58" s="108" t="s">
        <v>78</v>
      </c>
      <c r="C58" s="28">
        <v>17.5</v>
      </c>
      <c r="D58" s="22">
        <f>COUNTIFS('Registro Incidencias'!B$5:B$200,"&gt;="&amp;DATE(2026,8,1),'Registro Incidencias'!B$5:B$200,"&lt;="&amp;DATE(2026,8+1,0),'Registro Incidencias'!S$5:S$200,"Juan Luis")</f>
        <v>0</v>
      </c>
      <c r="E58" s="22">
        <f>COUNTIFS('Registro Incidencias'!B$5:B$200,"&gt;="&amp;DATE(2026,8,1),'Registro Incidencias'!B$5:B$200,"&lt;="&amp;DATE(2026,8+1,0),'Registro Incidencias'!S$5:S$200,"Juan Luis",'Registro Incidencias'!AK$5:AK$200,"*Resuelta*")+COUNTIFS('Registro Incidencias'!B$5:B$200,"&gt;="&amp;DATE(2026,8,1),'Registro Incidencias'!B$5:B$200,"&lt;="&amp;DATE(2026,8+1,0),'Registro Incidencias'!S$5:S$200,"Juan Luis",'Registro Incidencias'!AK$5:AK$200,"*Cerrada*")</f>
        <v>0</v>
      </c>
      <c r="F58" s="109">
        <f t="shared" si="8"/>
        <v>0</v>
      </c>
      <c r="G58" s="22">
        <f>COUNTIFS('Registro Incidencias'!B$5:B$200,"&gt;="&amp;DATE(2026,8,1),'Registro Incidencias'!B$5:B$200,"&lt;="&amp;DATE(2026,8+1,0),'Registro Incidencias'!S$5:S$200,"Juan Luis",'Registro Incidencias'!AD$5:AD$200,"&gt;1")</f>
        <v>0</v>
      </c>
      <c r="H58" s="22">
        <f>COUNTIFS('Registro Incidencias'!B$5:B$200,"&gt;="&amp;DATE(2026,8,1),'Registro Incidencias'!B$5:B$200,"&lt;="&amp;DATE(2026,8+1,0),'Registro Incidencias'!S$5:S$200,"Juan Luis",'Registro Incidencias'!AE$5:AE$200,"Fallo del técnico")</f>
        <v>0</v>
      </c>
      <c r="I58" s="22">
        <f>COUNTIFS('Registro Incidencias'!B$5:B$200,"&gt;="&amp;DATE(2026,8,1),'Registro Incidencias'!B$5:B$200,"&lt;="&amp;DATE(2026,8+1,0),'Registro Incidencias'!S$5:S$200,"Juan Luis",'Registro Incidencias'!AE$5:AE$200,"Falta de material")</f>
        <v>0</v>
      </c>
      <c r="J58" s="22">
        <f>COUNTIFS('Registro Incidencias'!B$5:B$200,"&gt;="&amp;DATE(2026,8,1),'Registro Incidencias'!B$5:B$200,"&lt;="&amp;DATE(2026,8+1,0),'Registro Incidencias'!S$5:S$200,"Juan Luis",'Registro Incidencias'!AE$5:AE$200,"Causa del cliente")</f>
        <v>0</v>
      </c>
      <c r="K58" s="28">
        <f>SUMIFS('Registro Incidencias'!AQ$5:AQ$200,'Registro Incidencias'!B$5:B$200,"&gt;="&amp;DATE(2026,8,1),'Registro Incidencias'!B$5:B$200,"&lt;="&amp;DATE(2026,8+1,0),'Registro Incidencias'!S$5:S$200,"Juan Luis")</f>
        <v>0</v>
      </c>
      <c r="L58" s="28">
        <f>SUMIFS('Registro Incidencias'!AR$5:AR$200,'Registro Incidencias'!B$5:B$200,"&gt;="&amp;DATE(2026,8,1),'Registro Incidencias'!B$5:B$200,"&lt;="&amp;DATE(2026,8+1,0),'Registro Incidencias'!S$5:S$200,"Juan Luis")</f>
        <v>0</v>
      </c>
      <c r="M58" s="28">
        <f>SUMIFS('Registro Incidencias'!AG$5:AG$200,'Registro Incidencias'!B$5:B$200,"&gt;="&amp;DATE(2026,8,1),'Registro Incidencias'!B$5:B$200,"&lt;="&amp;DATE(2026,8+1,0),'Registro Incidencias'!S$5:S$200,"Juan Luis")</f>
        <v>0</v>
      </c>
      <c r="N58" s="119">
        <f t="shared" si="9"/>
        <v>0</v>
      </c>
      <c r="O58" s="22">
        <f>SUMIFS('Registro Incidencias'!X$5:X$200,'Registro Incidencias'!B$5:B$200,"&gt;="&amp;DATE(2026,8,1),'Registro Incidencias'!B$5:B$200,"&lt;="&amp;DATE(2026,8+1,0),'Registro Incidencias'!S$5:S$200,"Juan Luis")</f>
        <v>0</v>
      </c>
      <c r="P58" s="30">
        <f>IFERROR(AVERAGEIFS('Registro Incidencias'!AO$5:AO$200,'Registro Incidencias'!B$5:B$200,"&gt;="&amp;DATE(2026,8,1),'Registro Incidencias'!B$5:B$200,"&lt;="&amp;DATE(2026,8+1,0),'Registro Incidencias'!S$5:S$200,"Juan Luis"),0)</f>
        <v>0</v>
      </c>
      <c r="Q58" s="109">
        <f t="shared" si="10"/>
        <v>0</v>
      </c>
      <c r="R58" s="30">
        <f>IFERROR(D58/DAY(DATE(2026,8+1,0)),0)</f>
        <v>0</v>
      </c>
    </row>
    <row r="59" spans="1:18" x14ac:dyDescent="0.25">
      <c r="A59" s="33"/>
      <c r="B59" s="106" t="s">
        <v>79</v>
      </c>
      <c r="C59" s="39">
        <v>13.5</v>
      </c>
      <c r="D59" s="33">
        <f>COUNTIFS('Registro Incidencias'!B$5:B$200,"&gt;="&amp;DATE(2026,8,1),'Registro Incidencias'!B$5:B$200,"&lt;="&amp;DATE(2026,8+1,0),'Registro Incidencias'!S$5:S$200,"Paco")</f>
        <v>0</v>
      </c>
      <c r="E59" s="33">
        <f>COUNTIFS('Registro Incidencias'!B$5:B$200,"&gt;="&amp;DATE(2026,8,1),'Registro Incidencias'!B$5:B$200,"&lt;="&amp;DATE(2026,8+1,0),'Registro Incidencias'!S$5:S$200,"Paco",'Registro Incidencias'!AK$5:AK$200,"*Resuelta*")+COUNTIFS('Registro Incidencias'!B$5:B$200,"&gt;="&amp;DATE(2026,8,1),'Registro Incidencias'!B$5:B$200,"&lt;="&amp;DATE(2026,8+1,0),'Registro Incidencias'!S$5:S$200,"Paco",'Registro Incidencias'!AK$5:AK$200,"*Cerrada*")</f>
        <v>0</v>
      </c>
      <c r="F59" s="107">
        <f t="shared" si="8"/>
        <v>0</v>
      </c>
      <c r="G59" s="33">
        <f>COUNTIFS('Registro Incidencias'!B$5:B$200,"&gt;="&amp;DATE(2026,8,1),'Registro Incidencias'!B$5:B$200,"&lt;="&amp;DATE(2026,8+1,0),'Registro Incidencias'!S$5:S$200,"Paco",'Registro Incidencias'!AD$5:AD$200,"&gt;1")</f>
        <v>0</v>
      </c>
      <c r="H59" s="33">
        <f>COUNTIFS('Registro Incidencias'!B$5:B$200,"&gt;="&amp;DATE(2026,8,1),'Registro Incidencias'!B$5:B$200,"&lt;="&amp;DATE(2026,8+1,0),'Registro Incidencias'!S$5:S$200,"Paco",'Registro Incidencias'!AE$5:AE$200,"Fallo del técnico")</f>
        <v>0</v>
      </c>
      <c r="I59" s="33">
        <f>COUNTIFS('Registro Incidencias'!B$5:B$200,"&gt;="&amp;DATE(2026,8,1),'Registro Incidencias'!B$5:B$200,"&lt;="&amp;DATE(2026,8+1,0),'Registro Incidencias'!S$5:S$200,"Paco",'Registro Incidencias'!AE$5:AE$200,"Falta de material")</f>
        <v>0</v>
      </c>
      <c r="J59" s="33">
        <f>COUNTIFS('Registro Incidencias'!B$5:B$200,"&gt;="&amp;DATE(2026,8,1),'Registro Incidencias'!B$5:B$200,"&lt;="&amp;DATE(2026,8+1,0),'Registro Incidencias'!S$5:S$200,"Paco",'Registro Incidencias'!AE$5:AE$200,"Causa del cliente")</f>
        <v>0</v>
      </c>
      <c r="K59" s="39">
        <f>SUMIFS('Registro Incidencias'!AQ$5:AQ$200,'Registro Incidencias'!B$5:B$200,"&gt;="&amp;DATE(2026,8,1),'Registro Incidencias'!B$5:B$200,"&lt;="&amp;DATE(2026,8+1,0),'Registro Incidencias'!S$5:S$200,"Paco")</f>
        <v>0</v>
      </c>
      <c r="L59" s="39">
        <f>SUMIFS('Registro Incidencias'!AR$5:AR$200,'Registro Incidencias'!B$5:B$200,"&gt;="&amp;DATE(2026,8,1),'Registro Incidencias'!B$5:B$200,"&lt;="&amp;DATE(2026,8+1,0),'Registro Incidencias'!S$5:S$200,"Paco")</f>
        <v>0</v>
      </c>
      <c r="M59" s="39">
        <f>SUMIFS('Registro Incidencias'!AG$5:AG$200,'Registro Incidencias'!B$5:B$200,"&gt;="&amp;DATE(2026,8,1),'Registro Incidencias'!B$5:B$200,"&lt;="&amp;DATE(2026,8+1,0),'Registro Incidencias'!S$5:S$200,"Paco")</f>
        <v>0</v>
      </c>
      <c r="N59" s="117">
        <f t="shared" si="9"/>
        <v>0</v>
      </c>
      <c r="O59" s="33">
        <f>SUMIFS('Registro Incidencias'!X$5:X$200,'Registro Incidencias'!B$5:B$200,"&gt;="&amp;DATE(2026,8,1),'Registro Incidencias'!B$5:B$200,"&lt;="&amp;DATE(2026,8+1,0),'Registro Incidencias'!S$5:S$200,"Paco")</f>
        <v>0</v>
      </c>
      <c r="P59" s="41">
        <f>IFERROR(AVERAGEIFS('Registro Incidencias'!AO$5:AO$200,'Registro Incidencias'!B$5:B$200,"&gt;="&amp;DATE(2026,8,1),'Registro Incidencias'!B$5:B$200,"&lt;="&amp;DATE(2026,8+1,0),'Registro Incidencias'!S$5:S$200,"Paco"),0)</f>
        <v>0</v>
      </c>
      <c r="Q59" s="107">
        <f t="shared" si="10"/>
        <v>0</v>
      </c>
      <c r="R59" s="41">
        <f>IFERROR(D59/DAY(DATE(2026,8+1,0)),0)</f>
        <v>0</v>
      </c>
    </row>
    <row r="60" spans="1:18" x14ac:dyDescent="0.25">
      <c r="A60" s="22"/>
      <c r="B60" s="108" t="s">
        <v>80</v>
      </c>
      <c r="C60" s="28">
        <v>18.899999999999999</v>
      </c>
      <c r="D60" s="22">
        <f>COUNTIFS('Registro Incidencias'!B$5:B$200,"&gt;="&amp;DATE(2026,8,1),'Registro Incidencias'!B$5:B$200,"&lt;="&amp;DATE(2026,8+1,0),'Registro Incidencias'!S$5:S$200,"Juan Manuel")</f>
        <v>0</v>
      </c>
      <c r="E60" s="22">
        <f>COUNTIFS('Registro Incidencias'!B$5:B$200,"&gt;="&amp;DATE(2026,8,1),'Registro Incidencias'!B$5:B$200,"&lt;="&amp;DATE(2026,8+1,0),'Registro Incidencias'!S$5:S$200,"Juan Manuel",'Registro Incidencias'!AK$5:AK$200,"*Resuelta*")+COUNTIFS('Registro Incidencias'!B$5:B$200,"&gt;="&amp;DATE(2026,8,1),'Registro Incidencias'!B$5:B$200,"&lt;="&amp;DATE(2026,8+1,0),'Registro Incidencias'!S$5:S$200,"Juan Manuel",'Registro Incidencias'!AK$5:AK$200,"*Cerrada*")</f>
        <v>0</v>
      </c>
      <c r="F60" s="109">
        <f t="shared" si="8"/>
        <v>0</v>
      </c>
      <c r="G60" s="22">
        <f>COUNTIFS('Registro Incidencias'!B$5:B$200,"&gt;="&amp;DATE(2026,8,1),'Registro Incidencias'!B$5:B$200,"&lt;="&amp;DATE(2026,8+1,0),'Registro Incidencias'!S$5:S$200,"Juan Manuel",'Registro Incidencias'!AD$5:AD$200,"&gt;1")</f>
        <v>0</v>
      </c>
      <c r="H60" s="22">
        <f>COUNTIFS('Registro Incidencias'!B$5:B$200,"&gt;="&amp;DATE(2026,8,1),'Registro Incidencias'!B$5:B$200,"&lt;="&amp;DATE(2026,8+1,0),'Registro Incidencias'!S$5:S$200,"Juan Manuel",'Registro Incidencias'!AE$5:AE$200,"Fallo del técnico")</f>
        <v>0</v>
      </c>
      <c r="I60" s="22">
        <f>COUNTIFS('Registro Incidencias'!B$5:B$200,"&gt;="&amp;DATE(2026,8,1),'Registro Incidencias'!B$5:B$200,"&lt;="&amp;DATE(2026,8+1,0),'Registro Incidencias'!S$5:S$200,"Juan Manuel",'Registro Incidencias'!AE$5:AE$200,"Falta de material")</f>
        <v>0</v>
      </c>
      <c r="J60" s="22">
        <f>COUNTIFS('Registro Incidencias'!B$5:B$200,"&gt;="&amp;DATE(2026,8,1),'Registro Incidencias'!B$5:B$200,"&lt;="&amp;DATE(2026,8+1,0),'Registro Incidencias'!S$5:S$200,"Juan Manuel",'Registro Incidencias'!AE$5:AE$200,"Causa del cliente")</f>
        <v>0</v>
      </c>
      <c r="K60" s="28">
        <f>SUMIFS('Registro Incidencias'!AQ$5:AQ$200,'Registro Incidencias'!B$5:B$200,"&gt;="&amp;DATE(2026,8,1),'Registro Incidencias'!B$5:B$200,"&lt;="&amp;DATE(2026,8+1,0),'Registro Incidencias'!S$5:S$200,"Juan Manuel")</f>
        <v>0</v>
      </c>
      <c r="L60" s="28">
        <f>SUMIFS('Registro Incidencias'!AR$5:AR$200,'Registro Incidencias'!B$5:B$200,"&gt;="&amp;DATE(2026,8,1),'Registro Incidencias'!B$5:B$200,"&lt;="&amp;DATE(2026,8+1,0),'Registro Incidencias'!S$5:S$200,"Juan Manuel")</f>
        <v>0</v>
      </c>
      <c r="M60" s="28">
        <f>SUMIFS('Registro Incidencias'!AG$5:AG$200,'Registro Incidencias'!B$5:B$200,"&gt;="&amp;DATE(2026,8,1),'Registro Incidencias'!B$5:B$200,"&lt;="&amp;DATE(2026,8+1,0),'Registro Incidencias'!S$5:S$200,"Juan Manuel")</f>
        <v>0</v>
      </c>
      <c r="N60" s="119">
        <f t="shared" si="9"/>
        <v>0</v>
      </c>
      <c r="O60" s="22">
        <f>SUMIFS('Registro Incidencias'!X$5:X$200,'Registro Incidencias'!B$5:B$200,"&gt;="&amp;DATE(2026,8,1),'Registro Incidencias'!B$5:B$200,"&lt;="&amp;DATE(2026,8+1,0),'Registro Incidencias'!S$5:S$200,"Juan Manuel")</f>
        <v>0</v>
      </c>
      <c r="P60" s="30">
        <f>IFERROR(AVERAGEIFS('Registro Incidencias'!AO$5:AO$200,'Registro Incidencias'!B$5:B$200,"&gt;="&amp;DATE(2026,8,1),'Registro Incidencias'!B$5:B$200,"&lt;="&amp;DATE(2026,8+1,0),'Registro Incidencias'!S$5:S$200,"Juan Manuel"),0)</f>
        <v>0</v>
      </c>
      <c r="Q60" s="109">
        <f t="shared" si="10"/>
        <v>0</v>
      </c>
      <c r="R60" s="30">
        <f>IFERROR(D60/DAY(DATE(2026,8+1,0)),0)</f>
        <v>0</v>
      </c>
    </row>
    <row r="61" spans="1:18" x14ac:dyDescent="0.25">
      <c r="A61" s="33"/>
      <c r="B61" s="106" t="s">
        <v>81</v>
      </c>
      <c r="C61" s="39">
        <v>13.5</v>
      </c>
      <c r="D61" s="33">
        <f>COUNTIFS('Registro Incidencias'!B$5:B$200,"&gt;="&amp;DATE(2026,8,1),'Registro Incidencias'!B$5:B$200,"&lt;="&amp;DATE(2026,8+1,0),'Registro Incidencias'!S$5:S$200,"Adrián")</f>
        <v>0</v>
      </c>
      <c r="E61" s="33">
        <f>COUNTIFS('Registro Incidencias'!B$5:B$200,"&gt;="&amp;DATE(2026,8,1),'Registro Incidencias'!B$5:B$200,"&lt;="&amp;DATE(2026,8+1,0),'Registro Incidencias'!S$5:S$200,"Adrián",'Registro Incidencias'!AK$5:AK$200,"*Resuelta*")+COUNTIFS('Registro Incidencias'!B$5:B$200,"&gt;="&amp;DATE(2026,8,1),'Registro Incidencias'!B$5:B$200,"&lt;="&amp;DATE(2026,8+1,0),'Registro Incidencias'!S$5:S$200,"Adrián",'Registro Incidencias'!AK$5:AK$200,"*Cerrada*")</f>
        <v>0</v>
      </c>
      <c r="F61" s="107">
        <f t="shared" si="8"/>
        <v>0</v>
      </c>
      <c r="G61" s="33">
        <f>COUNTIFS('Registro Incidencias'!B$5:B$200,"&gt;="&amp;DATE(2026,8,1),'Registro Incidencias'!B$5:B$200,"&lt;="&amp;DATE(2026,8+1,0),'Registro Incidencias'!S$5:S$200,"Adrián",'Registro Incidencias'!AD$5:AD$200,"&gt;1")</f>
        <v>0</v>
      </c>
      <c r="H61" s="33">
        <f>COUNTIFS('Registro Incidencias'!B$5:B$200,"&gt;="&amp;DATE(2026,8,1),'Registro Incidencias'!B$5:B$200,"&lt;="&amp;DATE(2026,8+1,0),'Registro Incidencias'!S$5:S$200,"Adrián",'Registro Incidencias'!AE$5:AE$200,"Fallo del técnico")</f>
        <v>0</v>
      </c>
      <c r="I61" s="33">
        <f>COUNTIFS('Registro Incidencias'!B$5:B$200,"&gt;="&amp;DATE(2026,8,1),'Registro Incidencias'!B$5:B$200,"&lt;="&amp;DATE(2026,8+1,0),'Registro Incidencias'!S$5:S$200,"Adrián",'Registro Incidencias'!AE$5:AE$200,"Falta de material")</f>
        <v>0</v>
      </c>
      <c r="J61" s="33">
        <f>COUNTIFS('Registro Incidencias'!B$5:B$200,"&gt;="&amp;DATE(2026,8,1),'Registro Incidencias'!B$5:B$200,"&lt;="&amp;DATE(2026,8+1,0),'Registro Incidencias'!S$5:S$200,"Adrián",'Registro Incidencias'!AE$5:AE$200,"Causa del cliente")</f>
        <v>0</v>
      </c>
      <c r="K61" s="39">
        <f>SUMIFS('Registro Incidencias'!AQ$5:AQ$200,'Registro Incidencias'!B$5:B$200,"&gt;="&amp;DATE(2026,8,1),'Registro Incidencias'!B$5:B$200,"&lt;="&amp;DATE(2026,8+1,0),'Registro Incidencias'!S$5:S$200,"Adrián")</f>
        <v>0</v>
      </c>
      <c r="L61" s="39">
        <f>SUMIFS('Registro Incidencias'!AR$5:AR$200,'Registro Incidencias'!B$5:B$200,"&gt;="&amp;DATE(2026,8,1),'Registro Incidencias'!B$5:B$200,"&lt;="&amp;DATE(2026,8+1,0),'Registro Incidencias'!S$5:S$200,"Adrián")</f>
        <v>0</v>
      </c>
      <c r="M61" s="39">
        <f>SUMIFS('Registro Incidencias'!AG$5:AG$200,'Registro Incidencias'!B$5:B$200,"&gt;="&amp;DATE(2026,8,1),'Registro Incidencias'!B$5:B$200,"&lt;="&amp;DATE(2026,8+1,0),'Registro Incidencias'!S$5:S$200,"Adrián")</f>
        <v>0</v>
      </c>
      <c r="N61" s="117">
        <f t="shared" si="9"/>
        <v>0</v>
      </c>
      <c r="O61" s="33">
        <f>SUMIFS('Registro Incidencias'!X$5:X$200,'Registro Incidencias'!B$5:B$200,"&gt;="&amp;DATE(2026,8,1),'Registro Incidencias'!B$5:B$200,"&lt;="&amp;DATE(2026,8+1,0),'Registro Incidencias'!S$5:S$200,"Adrián")</f>
        <v>0</v>
      </c>
      <c r="P61" s="41">
        <f>IFERROR(AVERAGEIFS('Registro Incidencias'!AO$5:AO$200,'Registro Incidencias'!B$5:B$200,"&gt;="&amp;DATE(2026,8,1),'Registro Incidencias'!B$5:B$200,"&lt;="&amp;DATE(2026,8+1,0),'Registro Incidencias'!S$5:S$200,"Adrián"),0)</f>
        <v>0</v>
      </c>
      <c r="Q61" s="107">
        <f t="shared" si="10"/>
        <v>0</v>
      </c>
      <c r="R61" s="41">
        <f>IFERROR(D61/DAY(DATE(2026,8+1,0)),0)</f>
        <v>0</v>
      </c>
    </row>
    <row r="62" spans="1:18" x14ac:dyDescent="0.25">
      <c r="A62" s="106" t="s">
        <v>274</v>
      </c>
      <c r="B62" s="106" t="s">
        <v>77</v>
      </c>
      <c r="C62" s="39">
        <v>15.8</v>
      </c>
      <c r="D62" s="33">
        <f>COUNTIFS('Registro Incidencias'!B$5:B$200,"&gt;="&amp;DATE(2026,9,1),'Registro Incidencias'!B$5:B$200,"&lt;="&amp;DATE(2026,9+1,0),'Registro Incidencias'!S$5:S$200,"Raúl")</f>
        <v>0</v>
      </c>
      <c r="E62" s="33">
        <f>COUNTIFS('Registro Incidencias'!B$5:B$200,"&gt;="&amp;DATE(2026,9,1),'Registro Incidencias'!B$5:B$200,"&lt;="&amp;DATE(2026,9+1,0),'Registro Incidencias'!S$5:S$200,"Raúl",'Registro Incidencias'!AK$5:AK$200,"*Resuelta*")+COUNTIFS('Registro Incidencias'!B$5:B$200,"&gt;="&amp;DATE(2026,9,1),'Registro Incidencias'!B$5:B$200,"&lt;="&amp;DATE(2026,9+1,0),'Registro Incidencias'!S$5:S$200,"Raúl",'Registro Incidencias'!AK$5:AK$200,"*Cerrada*")</f>
        <v>0</v>
      </c>
      <c r="F62" s="107">
        <f t="shared" si="8"/>
        <v>0</v>
      </c>
      <c r="G62" s="33">
        <f>COUNTIFS('Registro Incidencias'!B$5:B$200,"&gt;="&amp;DATE(2026,9,1),'Registro Incidencias'!B$5:B$200,"&lt;="&amp;DATE(2026,9+1,0),'Registro Incidencias'!S$5:S$200,"Raúl",'Registro Incidencias'!AD$5:AD$200,"&gt;1")</f>
        <v>0</v>
      </c>
      <c r="H62" s="33">
        <f>COUNTIFS('Registro Incidencias'!B$5:B$200,"&gt;="&amp;DATE(2026,9,1),'Registro Incidencias'!B$5:B$200,"&lt;="&amp;DATE(2026,9+1,0),'Registro Incidencias'!S$5:S$200,"Raúl",'Registro Incidencias'!AE$5:AE$200,"Fallo del técnico")</f>
        <v>0</v>
      </c>
      <c r="I62" s="33">
        <f>COUNTIFS('Registro Incidencias'!B$5:B$200,"&gt;="&amp;DATE(2026,9,1),'Registro Incidencias'!B$5:B$200,"&lt;="&amp;DATE(2026,9+1,0),'Registro Incidencias'!S$5:S$200,"Raúl",'Registro Incidencias'!AE$5:AE$200,"Falta de material")</f>
        <v>0</v>
      </c>
      <c r="J62" s="33">
        <f>COUNTIFS('Registro Incidencias'!B$5:B$200,"&gt;="&amp;DATE(2026,9,1),'Registro Incidencias'!B$5:B$200,"&lt;="&amp;DATE(2026,9+1,0),'Registro Incidencias'!S$5:S$200,"Raúl",'Registro Incidencias'!AE$5:AE$200,"Causa del cliente")</f>
        <v>0</v>
      </c>
      <c r="K62" s="39">
        <f>SUMIFS('Registro Incidencias'!AQ$5:AQ$200,'Registro Incidencias'!B$5:B$200,"&gt;="&amp;DATE(2026,9,1),'Registro Incidencias'!B$5:B$200,"&lt;="&amp;DATE(2026,9+1,0),'Registro Incidencias'!S$5:S$200,"Raúl")</f>
        <v>0</v>
      </c>
      <c r="L62" s="39">
        <f>SUMIFS('Registro Incidencias'!AR$5:AR$200,'Registro Incidencias'!B$5:B$200,"&gt;="&amp;DATE(2026,9,1),'Registro Incidencias'!B$5:B$200,"&lt;="&amp;DATE(2026,9+1,0),'Registro Incidencias'!S$5:S$200,"Raúl")</f>
        <v>0</v>
      </c>
      <c r="M62" s="39">
        <f>SUMIFS('Registro Incidencias'!AG$5:AG$200,'Registro Incidencias'!B$5:B$200,"&gt;="&amp;DATE(2026,9,1),'Registro Incidencias'!B$5:B$200,"&lt;="&amp;DATE(2026,9+1,0),'Registro Incidencias'!S$5:S$200,"Raúl")</f>
        <v>0</v>
      </c>
      <c r="N62" s="117">
        <f t="shared" si="9"/>
        <v>0</v>
      </c>
      <c r="O62" s="33">
        <f>SUMIFS('Registro Incidencias'!X$5:X$200,'Registro Incidencias'!B$5:B$200,"&gt;="&amp;DATE(2026,9,1),'Registro Incidencias'!B$5:B$200,"&lt;="&amp;DATE(2026,9+1,0),'Registro Incidencias'!S$5:S$200,"Raúl")</f>
        <v>0</v>
      </c>
      <c r="P62" s="41">
        <f>IFERROR(AVERAGEIFS('Registro Incidencias'!AO$5:AO$200,'Registro Incidencias'!B$5:B$200,"&gt;="&amp;DATE(2026,9,1),'Registro Incidencias'!B$5:B$200,"&lt;="&amp;DATE(2026,9+1,0),'Registro Incidencias'!S$5:S$200,"Raúl"),0)</f>
        <v>0</v>
      </c>
      <c r="Q62" s="107">
        <f t="shared" si="10"/>
        <v>0</v>
      </c>
      <c r="R62" s="41">
        <f>IFERROR(D62/DAY(DATE(2026,9+1,0)),0)</f>
        <v>0</v>
      </c>
    </row>
    <row r="63" spans="1:18" x14ac:dyDescent="0.25">
      <c r="A63" s="22"/>
      <c r="B63" s="108" t="s">
        <v>78</v>
      </c>
      <c r="C63" s="28">
        <v>17.5</v>
      </c>
      <c r="D63" s="22">
        <f>COUNTIFS('Registro Incidencias'!B$5:B$200,"&gt;="&amp;DATE(2026,9,1),'Registro Incidencias'!B$5:B$200,"&lt;="&amp;DATE(2026,9+1,0),'Registro Incidencias'!S$5:S$200,"Juan Luis")</f>
        <v>0</v>
      </c>
      <c r="E63" s="22">
        <f>COUNTIFS('Registro Incidencias'!B$5:B$200,"&gt;="&amp;DATE(2026,9,1),'Registro Incidencias'!B$5:B$200,"&lt;="&amp;DATE(2026,9+1,0),'Registro Incidencias'!S$5:S$200,"Juan Luis",'Registro Incidencias'!AK$5:AK$200,"*Resuelta*")+COUNTIFS('Registro Incidencias'!B$5:B$200,"&gt;="&amp;DATE(2026,9,1),'Registro Incidencias'!B$5:B$200,"&lt;="&amp;DATE(2026,9+1,0),'Registro Incidencias'!S$5:S$200,"Juan Luis",'Registro Incidencias'!AK$5:AK$200,"*Cerrada*")</f>
        <v>0</v>
      </c>
      <c r="F63" s="109">
        <f t="shared" si="8"/>
        <v>0</v>
      </c>
      <c r="G63" s="22">
        <f>COUNTIFS('Registro Incidencias'!B$5:B$200,"&gt;="&amp;DATE(2026,9,1),'Registro Incidencias'!B$5:B$200,"&lt;="&amp;DATE(2026,9+1,0),'Registro Incidencias'!S$5:S$200,"Juan Luis",'Registro Incidencias'!AD$5:AD$200,"&gt;1")</f>
        <v>0</v>
      </c>
      <c r="H63" s="22">
        <f>COUNTIFS('Registro Incidencias'!B$5:B$200,"&gt;="&amp;DATE(2026,9,1),'Registro Incidencias'!B$5:B$200,"&lt;="&amp;DATE(2026,9+1,0),'Registro Incidencias'!S$5:S$200,"Juan Luis",'Registro Incidencias'!AE$5:AE$200,"Fallo del técnico")</f>
        <v>0</v>
      </c>
      <c r="I63" s="22">
        <f>COUNTIFS('Registro Incidencias'!B$5:B$200,"&gt;="&amp;DATE(2026,9,1),'Registro Incidencias'!B$5:B$200,"&lt;="&amp;DATE(2026,9+1,0),'Registro Incidencias'!S$5:S$200,"Juan Luis",'Registro Incidencias'!AE$5:AE$200,"Falta de material")</f>
        <v>0</v>
      </c>
      <c r="J63" s="22">
        <f>COUNTIFS('Registro Incidencias'!B$5:B$200,"&gt;="&amp;DATE(2026,9,1),'Registro Incidencias'!B$5:B$200,"&lt;="&amp;DATE(2026,9+1,0),'Registro Incidencias'!S$5:S$200,"Juan Luis",'Registro Incidencias'!AE$5:AE$200,"Causa del cliente")</f>
        <v>0</v>
      </c>
      <c r="K63" s="28">
        <f>SUMIFS('Registro Incidencias'!AQ$5:AQ$200,'Registro Incidencias'!B$5:B$200,"&gt;="&amp;DATE(2026,9,1),'Registro Incidencias'!B$5:B$200,"&lt;="&amp;DATE(2026,9+1,0),'Registro Incidencias'!S$5:S$200,"Juan Luis")</f>
        <v>0</v>
      </c>
      <c r="L63" s="28">
        <f>SUMIFS('Registro Incidencias'!AR$5:AR$200,'Registro Incidencias'!B$5:B$200,"&gt;="&amp;DATE(2026,9,1),'Registro Incidencias'!B$5:B$200,"&lt;="&amp;DATE(2026,9+1,0),'Registro Incidencias'!S$5:S$200,"Juan Luis")</f>
        <v>0</v>
      </c>
      <c r="M63" s="28">
        <f>SUMIFS('Registro Incidencias'!AG$5:AG$200,'Registro Incidencias'!B$5:B$200,"&gt;="&amp;DATE(2026,9,1),'Registro Incidencias'!B$5:B$200,"&lt;="&amp;DATE(2026,9+1,0),'Registro Incidencias'!S$5:S$200,"Juan Luis")</f>
        <v>0</v>
      </c>
      <c r="N63" s="119">
        <f t="shared" si="9"/>
        <v>0</v>
      </c>
      <c r="O63" s="22">
        <f>SUMIFS('Registro Incidencias'!X$5:X$200,'Registro Incidencias'!B$5:B$200,"&gt;="&amp;DATE(2026,9,1),'Registro Incidencias'!B$5:B$200,"&lt;="&amp;DATE(2026,9+1,0),'Registro Incidencias'!S$5:S$200,"Juan Luis")</f>
        <v>0</v>
      </c>
      <c r="P63" s="30">
        <f>IFERROR(AVERAGEIFS('Registro Incidencias'!AO$5:AO$200,'Registro Incidencias'!B$5:B$200,"&gt;="&amp;DATE(2026,9,1),'Registro Incidencias'!B$5:B$200,"&lt;="&amp;DATE(2026,9+1,0),'Registro Incidencias'!S$5:S$200,"Juan Luis"),0)</f>
        <v>0</v>
      </c>
      <c r="Q63" s="109">
        <f t="shared" si="10"/>
        <v>0</v>
      </c>
      <c r="R63" s="30">
        <f>IFERROR(D63/DAY(DATE(2026,9+1,0)),0)</f>
        <v>0</v>
      </c>
    </row>
    <row r="64" spans="1:18" x14ac:dyDescent="0.25">
      <c r="A64" s="33"/>
      <c r="B64" s="106" t="s">
        <v>79</v>
      </c>
      <c r="C64" s="39">
        <v>13.5</v>
      </c>
      <c r="D64" s="33">
        <f>COUNTIFS('Registro Incidencias'!B$5:B$200,"&gt;="&amp;DATE(2026,9,1),'Registro Incidencias'!B$5:B$200,"&lt;="&amp;DATE(2026,9+1,0),'Registro Incidencias'!S$5:S$200,"Paco")</f>
        <v>0</v>
      </c>
      <c r="E64" s="33">
        <f>COUNTIFS('Registro Incidencias'!B$5:B$200,"&gt;="&amp;DATE(2026,9,1),'Registro Incidencias'!B$5:B$200,"&lt;="&amp;DATE(2026,9+1,0),'Registro Incidencias'!S$5:S$200,"Paco",'Registro Incidencias'!AK$5:AK$200,"*Resuelta*")+COUNTIFS('Registro Incidencias'!B$5:B$200,"&gt;="&amp;DATE(2026,9,1),'Registro Incidencias'!B$5:B$200,"&lt;="&amp;DATE(2026,9+1,0),'Registro Incidencias'!S$5:S$200,"Paco",'Registro Incidencias'!AK$5:AK$200,"*Cerrada*")</f>
        <v>0</v>
      </c>
      <c r="F64" s="107">
        <f t="shared" si="8"/>
        <v>0</v>
      </c>
      <c r="G64" s="33">
        <f>COUNTIFS('Registro Incidencias'!B$5:B$200,"&gt;="&amp;DATE(2026,9,1),'Registro Incidencias'!B$5:B$200,"&lt;="&amp;DATE(2026,9+1,0),'Registro Incidencias'!S$5:S$200,"Paco",'Registro Incidencias'!AD$5:AD$200,"&gt;1")</f>
        <v>0</v>
      </c>
      <c r="H64" s="33">
        <f>COUNTIFS('Registro Incidencias'!B$5:B$200,"&gt;="&amp;DATE(2026,9,1),'Registro Incidencias'!B$5:B$200,"&lt;="&amp;DATE(2026,9+1,0),'Registro Incidencias'!S$5:S$200,"Paco",'Registro Incidencias'!AE$5:AE$200,"Fallo del técnico")</f>
        <v>0</v>
      </c>
      <c r="I64" s="33">
        <f>COUNTIFS('Registro Incidencias'!B$5:B$200,"&gt;="&amp;DATE(2026,9,1),'Registro Incidencias'!B$5:B$200,"&lt;="&amp;DATE(2026,9+1,0),'Registro Incidencias'!S$5:S$200,"Paco",'Registro Incidencias'!AE$5:AE$200,"Falta de material")</f>
        <v>0</v>
      </c>
      <c r="J64" s="33">
        <f>COUNTIFS('Registro Incidencias'!B$5:B$200,"&gt;="&amp;DATE(2026,9,1),'Registro Incidencias'!B$5:B$200,"&lt;="&amp;DATE(2026,9+1,0),'Registro Incidencias'!S$5:S$200,"Paco",'Registro Incidencias'!AE$5:AE$200,"Causa del cliente")</f>
        <v>0</v>
      </c>
      <c r="K64" s="39">
        <f>SUMIFS('Registro Incidencias'!AQ$5:AQ$200,'Registro Incidencias'!B$5:B$200,"&gt;="&amp;DATE(2026,9,1),'Registro Incidencias'!B$5:B$200,"&lt;="&amp;DATE(2026,9+1,0),'Registro Incidencias'!S$5:S$200,"Paco")</f>
        <v>0</v>
      </c>
      <c r="L64" s="39">
        <f>SUMIFS('Registro Incidencias'!AR$5:AR$200,'Registro Incidencias'!B$5:B$200,"&gt;="&amp;DATE(2026,9,1),'Registro Incidencias'!B$5:B$200,"&lt;="&amp;DATE(2026,9+1,0),'Registro Incidencias'!S$5:S$200,"Paco")</f>
        <v>0</v>
      </c>
      <c r="M64" s="39">
        <f>SUMIFS('Registro Incidencias'!AG$5:AG$200,'Registro Incidencias'!B$5:B$200,"&gt;="&amp;DATE(2026,9,1),'Registro Incidencias'!B$5:B$200,"&lt;="&amp;DATE(2026,9+1,0),'Registro Incidencias'!S$5:S$200,"Paco")</f>
        <v>0</v>
      </c>
      <c r="N64" s="117">
        <f t="shared" si="9"/>
        <v>0</v>
      </c>
      <c r="O64" s="33">
        <f>SUMIFS('Registro Incidencias'!X$5:X$200,'Registro Incidencias'!B$5:B$200,"&gt;="&amp;DATE(2026,9,1),'Registro Incidencias'!B$5:B$200,"&lt;="&amp;DATE(2026,9+1,0),'Registro Incidencias'!S$5:S$200,"Paco")</f>
        <v>0</v>
      </c>
      <c r="P64" s="41">
        <f>IFERROR(AVERAGEIFS('Registro Incidencias'!AO$5:AO$200,'Registro Incidencias'!B$5:B$200,"&gt;="&amp;DATE(2026,9,1),'Registro Incidencias'!B$5:B$200,"&lt;="&amp;DATE(2026,9+1,0),'Registro Incidencias'!S$5:S$200,"Paco"),0)</f>
        <v>0</v>
      </c>
      <c r="Q64" s="107">
        <f t="shared" si="10"/>
        <v>0</v>
      </c>
      <c r="R64" s="41">
        <f>IFERROR(D64/DAY(DATE(2026,9+1,0)),0)</f>
        <v>0</v>
      </c>
    </row>
    <row r="65" spans="1:18" x14ac:dyDescent="0.25">
      <c r="A65" s="22"/>
      <c r="B65" s="108" t="s">
        <v>80</v>
      </c>
      <c r="C65" s="28">
        <v>18.899999999999999</v>
      </c>
      <c r="D65" s="22">
        <f>COUNTIFS('Registro Incidencias'!B$5:B$200,"&gt;="&amp;DATE(2026,9,1),'Registro Incidencias'!B$5:B$200,"&lt;="&amp;DATE(2026,9+1,0),'Registro Incidencias'!S$5:S$200,"Juan Manuel")</f>
        <v>0</v>
      </c>
      <c r="E65" s="22">
        <f>COUNTIFS('Registro Incidencias'!B$5:B$200,"&gt;="&amp;DATE(2026,9,1),'Registro Incidencias'!B$5:B$200,"&lt;="&amp;DATE(2026,9+1,0),'Registro Incidencias'!S$5:S$200,"Juan Manuel",'Registro Incidencias'!AK$5:AK$200,"*Resuelta*")+COUNTIFS('Registro Incidencias'!B$5:B$200,"&gt;="&amp;DATE(2026,9,1),'Registro Incidencias'!B$5:B$200,"&lt;="&amp;DATE(2026,9+1,0),'Registro Incidencias'!S$5:S$200,"Juan Manuel",'Registro Incidencias'!AK$5:AK$200,"*Cerrada*")</f>
        <v>0</v>
      </c>
      <c r="F65" s="109">
        <f t="shared" si="8"/>
        <v>0</v>
      </c>
      <c r="G65" s="22">
        <f>COUNTIFS('Registro Incidencias'!B$5:B$200,"&gt;="&amp;DATE(2026,9,1),'Registro Incidencias'!B$5:B$200,"&lt;="&amp;DATE(2026,9+1,0),'Registro Incidencias'!S$5:S$200,"Juan Manuel",'Registro Incidencias'!AD$5:AD$200,"&gt;1")</f>
        <v>0</v>
      </c>
      <c r="H65" s="22">
        <f>COUNTIFS('Registro Incidencias'!B$5:B$200,"&gt;="&amp;DATE(2026,9,1),'Registro Incidencias'!B$5:B$200,"&lt;="&amp;DATE(2026,9+1,0),'Registro Incidencias'!S$5:S$200,"Juan Manuel",'Registro Incidencias'!AE$5:AE$200,"Fallo del técnico")</f>
        <v>0</v>
      </c>
      <c r="I65" s="22">
        <f>COUNTIFS('Registro Incidencias'!B$5:B$200,"&gt;="&amp;DATE(2026,9,1),'Registro Incidencias'!B$5:B$200,"&lt;="&amp;DATE(2026,9+1,0),'Registro Incidencias'!S$5:S$200,"Juan Manuel",'Registro Incidencias'!AE$5:AE$200,"Falta de material")</f>
        <v>0</v>
      </c>
      <c r="J65" s="22">
        <f>COUNTIFS('Registro Incidencias'!B$5:B$200,"&gt;="&amp;DATE(2026,9,1),'Registro Incidencias'!B$5:B$200,"&lt;="&amp;DATE(2026,9+1,0),'Registro Incidencias'!S$5:S$200,"Juan Manuel",'Registro Incidencias'!AE$5:AE$200,"Causa del cliente")</f>
        <v>0</v>
      </c>
      <c r="K65" s="28">
        <f>SUMIFS('Registro Incidencias'!AQ$5:AQ$200,'Registro Incidencias'!B$5:B$200,"&gt;="&amp;DATE(2026,9,1),'Registro Incidencias'!B$5:B$200,"&lt;="&amp;DATE(2026,9+1,0),'Registro Incidencias'!S$5:S$200,"Juan Manuel")</f>
        <v>0</v>
      </c>
      <c r="L65" s="28">
        <f>SUMIFS('Registro Incidencias'!AR$5:AR$200,'Registro Incidencias'!B$5:B$200,"&gt;="&amp;DATE(2026,9,1),'Registro Incidencias'!B$5:B$200,"&lt;="&amp;DATE(2026,9+1,0),'Registro Incidencias'!S$5:S$200,"Juan Manuel")</f>
        <v>0</v>
      </c>
      <c r="M65" s="28">
        <f>SUMIFS('Registro Incidencias'!AG$5:AG$200,'Registro Incidencias'!B$5:B$200,"&gt;="&amp;DATE(2026,9,1),'Registro Incidencias'!B$5:B$200,"&lt;="&amp;DATE(2026,9+1,0),'Registro Incidencias'!S$5:S$200,"Juan Manuel")</f>
        <v>0</v>
      </c>
      <c r="N65" s="119">
        <f t="shared" si="9"/>
        <v>0</v>
      </c>
      <c r="O65" s="22">
        <f>SUMIFS('Registro Incidencias'!X$5:X$200,'Registro Incidencias'!B$5:B$200,"&gt;="&amp;DATE(2026,9,1),'Registro Incidencias'!B$5:B$200,"&lt;="&amp;DATE(2026,9+1,0),'Registro Incidencias'!S$5:S$200,"Juan Manuel")</f>
        <v>0</v>
      </c>
      <c r="P65" s="30">
        <f>IFERROR(AVERAGEIFS('Registro Incidencias'!AO$5:AO$200,'Registro Incidencias'!B$5:B$200,"&gt;="&amp;DATE(2026,9,1),'Registro Incidencias'!B$5:B$200,"&lt;="&amp;DATE(2026,9+1,0),'Registro Incidencias'!S$5:S$200,"Juan Manuel"),0)</f>
        <v>0</v>
      </c>
      <c r="Q65" s="109">
        <f t="shared" si="10"/>
        <v>0</v>
      </c>
      <c r="R65" s="30">
        <f>IFERROR(D65/DAY(DATE(2026,9+1,0)),0)</f>
        <v>0</v>
      </c>
    </row>
    <row r="66" spans="1:18" x14ac:dyDescent="0.25">
      <c r="A66" s="33"/>
      <c r="B66" s="106" t="s">
        <v>81</v>
      </c>
      <c r="C66" s="39">
        <v>13.5</v>
      </c>
      <c r="D66" s="33">
        <f>COUNTIFS('Registro Incidencias'!B$5:B$200,"&gt;="&amp;DATE(2026,9,1),'Registro Incidencias'!B$5:B$200,"&lt;="&amp;DATE(2026,9+1,0),'Registro Incidencias'!S$5:S$200,"Adrián")</f>
        <v>0</v>
      </c>
      <c r="E66" s="33">
        <f>COUNTIFS('Registro Incidencias'!B$5:B$200,"&gt;="&amp;DATE(2026,9,1),'Registro Incidencias'!B$5:B$200,"&lt;="&amp;DATE(2026,9+1,0),'Registro Incidencias'!S$5:S$200,"Adrián",'Registro Incidencias'!AK$5:AK$200,"*Resuelta*")+COUNTIFS('Registro Incidencias'!B$5:B$200,"&gt;="&amp;DATE(2026,9,1),'Registro Incidencias'!B$5:B$200,"&lt;="&amp;DATE(2026,9+1,0),'Registro Incidencias'!S$5:S$200,"Adrián",'Registro Incidencias'!AK$5:AK$200,"*Cerrada*")</f>
        <v>0</v>
      </c>
      <c r="F66" s="107">
        <f t="shared" si="8"/>
        <v>0</v>
      </c>
      <c r="G66" s="33">
        <f>COUNTIFS('Registro Incidencias'!B$5:B$200,"&gt;="&amp;DATE(2026,9,1),'Registro Incidencias'!B$5:B$200,"&lt;="&amp;DATE(2026,9+1,0),'Registro Incidencias'!S$5:S$200,"Adrián",'Registro Incidencias'!AD$5:AD$200,"&gt;1")</f>
        <v>0</v>
      </c>
      <c r="H66" s="33">
        <f>COUNTIFS('Registro Incidencias'!B$5:B$200,"&gt;="&amp;DATE(2026,9,1),'Registro Incidencias'!B$5:B$200,"&lt;="&amp;DATE(2026,9+1,0),'Registro Incidencias'!S$5:S$200,"Adrián",'Registro Incidencias'!AE$5:AE$200,"Fallo del técnico")</f>
        <v>0</v>
      </c>
      <c r="I66" s="33">
        <f>COUNTIFS('Registro Incidencias'!B$5:B$200,"&gt;="&amp;DATE(2026,9,1),'Registro Incidencias'!B$5:B$200,"&lt;="&amp;DATE(2026,9+1,0),'Registro Incidencias'!S$5:S$200,"Adrián",'Registro Incidencias'!AE$5:AE$200,"Falta de material")</f>
        <v>0</v>
      </c>
      <c r="J66" s="33">
        <f>COUNTIFS('Registro Incidencias'!B$5:B$200,"&gt;="&amp;DATE(2026,9,1),'Registro Incidencias'!B$5:B$200,"&lt;="&amp;DATE(2026,9+1,0),'Registro Incidencias'!S$5:S$200,"Adrián",'Registro Incidencias'!AE$5:AE$200,"Causa del cliente")</f>
        <v>0</v>
      </c>
      <c r="K66" s="39">
        <f>SUMIFS('Registro Incidencias'!AQ$5:AQ$200,'Registro Incidencias'!B$5:B$200,"&gt;="&amp;DATE(2026,9,1),'Registro Incidencias'!B$5:B$200,"&lt;="&amp;DATE(2026,9+1,0),'Registro Incidencias'!S$5:S$200,"Adrián")</f>
        <v>0</v>
      </c>
      <c r="L66" s="39">
        <f>SUMIFS('Registro Incidencias'!AR$5:AR$200,'Registro Incidencias'!B$5:B$200,"&gt;="&amp;DATE(2026,9,1),'Registro Incidencias'!B$5:B$200,"&lt;="&amp;DATE(2026,9+1,0),'Registro Incidencias'!S$5:S$200,"Adrián")</f>
        <v>0</v>
      </c>
      <c r="M66" s="39">
        <f>SUMIFS('Registro Incidencias'!AG$5:AG$200,'Registro Incidencias'!B$5:B$200,"&gt;="&amp;DATE(2026,9,1),'Registro Incidencias'!B$5:B$200,"&lt;="&amp;DATE(2026,9+1,0),'Registro Incidencias'!S$5:S$200,"Adrián")</f>
        <v>0</v>
      </c>
      <c r="N66" s="117">
        <f t="shared" si="9"/>
        <v>0</v>
      </c>
      <c r="O66" s="33">
        <f>SUMIFS('Registro Incidencias'!X$5:X$200,'Registro Incidencias'!B$5:B$200,"&gt;="&amp;DATE(2026,9,1),'Registro Incidencias'!B$5:B$200,"&lt;="&amp;DATE(2026,9+1,0),'Registro Incidencias'!S$5:S$200,"Adrián")</f>
        <v>0</v>
      </c>
      <c r="P66" s="41">
        <f>IFERROR(AVERAGEIFS('Registro Incidencias'!AO$5:AO$200,'Registro Incidencias'!B$5:B$200,"&gt;="&amp;DATE(2026,9,1),'Registro Incidencias'!B$5:B$200,"&lt;="&amp;DATE(2026,9+1,0),'Registro Incidencias'!S$5:S$200,"Adrián"),0)</f>
        <v>0</v>
      </c>
      <c r="Q66" s="107">
        <f t="shared" si="10"/>
        <v>0</v>
      </c>
      <c r="R66" s="41">
        <f>IFERROR(D66/DAY(DATE(2026,9+1,0)),0)</f>
        <v>0</v>
      </c>
    </row>
    <row r="67" spans="1:18" x14ac:dyDescent="0.25">
      <c r="A67" s="106" t="s">
        <v>275</v>
      </c>
      <c r="B67" s="106" t="s">
        <v>77</v>
      </c>
      <c r="C67" s="39">
        <v>15.8</v>
      </c>
      <c r="D67" s="33">
        <f>COUNTIFS('Registro Incidencias'!B$5:B$200,"&gt;="&amp;DATE(2026,10,1),'Registro Incidencias'!B$5:B$200,"&lt;="&amp;DATE(2026,10+1,0),'Registro Incidencias'!S$5:S$200,"Raúl")</f>
        <v>0</v>
      </c>
      <c r="E67" s="33">
        <f>COUNTIFS('Registro Incidencias'!B$5:B$200,"&gt;="&amp;DATE(2026,10,1),'Registro Incidencias'!B$5:B$200,"&lt;="&amp;DATE(2026,10+1,0),'Registro Incidencias'!S$5:S$200,"Raúl",'Registro Incidencias'!AK$5:AK$200,"*Resuelta*")+COUNTIFS('Registro Incidencias'!B$5:B$200,"&gt;="&amp;DATE(2026,10,1),'Registro Incidencias'!B$5:B$200,"&lt;="&amp;DATE(2026,10+1,0),'Registro Incidencias'!S$5:S$200,"Raúl",'Registro Incidencias'!AK$5:AK$200,"*Cerrada*")</f>
        <v>0</v>
      </c>
      <c r="F67" s="107">
        <f t="shared" si="8"/>
        <v>0</v>
      </c>
      <c r="G67" s="33">
        <f>COUNTIFS('Registro Incidencias'!B$5:B$200,"&gt;="&amp;DATE(2026,10,1),'Registro Incidencias'!B$5:B$200,"&lt;="&amp;DATE(2026,10+1,0),'Registro Incidencias'!S$5:S$200,"Raúl",'Registro Incidencias'!AD$5:AD$200,"&gt;1")</f>
        <v>0</v>
      </c>
      <c r="H67" s="33">
        <f>COUNTIFS('Registro Incidencias'!B$5:B$200,"&gt;="&amp;DATE(2026,10,1),'Registro Incidencias'!B$5:B$200,"&lt;="&amp;DATE(2026,10+1,0),'Registro Incidencias'!S$5:S$200,"Raúl",'Registro Incidencias'!AE$5:AE$200,"Fallo del técnico")</f>
        <v>0</v>
      </c>
      <c r="I67" s="33">
        <f>COUNTIFS('Registro Incidencias'!B$5:B$200,"&gt;="&amp;DATE(2026,10,1),'Registro Incidencias'!B$5:B$200,"&lt;="&amp;DATE(2026,10+1,0),'Registro Incidencias'!S$5:S$200,"Raúl",'Registro Incidencias'!AE$5:AE$200,"Falta de material")</f>
        <v>0</v>
      </c>
      <c r="J67" s="33">
        <f>COUNTIFS('Registro Incidencias'!B$5:B$200,"&gt;="&amp;DATE(2026,10,1),'Registro Incidencias'!B$5:B$200,"&lt;="&amp;DATE(2026,10+1,0),'Registro Incidencias'!S$5:S$200,"Raúl",'Registro Incidencias'!AE$5:AE$200,"Causa del cliente")</f>
        <v>0</v>
      </c>
      <c r="K67" s="39">
        <f>SUMIFS('Registro Incidencias'!AQ$5:AQ$200,'Registro Incidencias'!B$5:B$200,"&gt;="&amp;DATE(2026,10,1),'Registro Incidencias'!B$5:B$200,"&lt;="&amp;DATE(2026,10+1,0),'Registro Incidencias'!S$5:S$200,"Raúl")</f>
        <v>0</v>
      </c>
      <c r="L67" s="39">
        <f>SUMIFS('Registro Incidencias'!AR$5:AR$200,'Registro Incidencias'!B$5:B$200,"&gt;="&amp;DATE(2026,10,1),'Registro Incidencias'!B$5:B$200,"&lt;="&amp;DATE(2026,10+1,0),'Registro Incidencias'!S$5:S$200,"Raúl")</f>
        <v>0</v>
      </c>
      <c r="M67" s="39">
        <f>SUMIFS('Registro Incidencias'!AG$5:AG$200,'Registro Incidencias'!B$5:B$200,"&gt;="&amp;DATE(2026,10,1),'Registro Incidencias'!B$5:B$200,"&lt;="&amp;DATE(2026,10+1,0),'Registro Incidencias'!S$5:S$200,"Raúl")</f>
        <v>0</v>
      </c>
      <c r="N67" s="117">
        <f t="shared" si="9"/>
        <v>0</v>
      </c>
      <c r="O67" s="33">
        <f>SUMIFS('Registro Incidencias'!X$5:X$200,'Registro Incidencias'!B$5:B$200,"&gt;="&amp;DATE(2026,10,1),'Registro Incidencias'!B$5:B$200,"&lt;="&amp;DATE(2026,10+1,0),'Registro Incidencias'!S$5:S$200,"Raúl")</f>
        <v>0</v>
      </c>
      <c r="P67" s="41">
        <f>IFERROR(AVERAGEIFS('Registro Incidencias'!AO$5:AO$200,'Registro Incidencias'!B$5:B$200,"&gt;="&amp;DATE(2026,10,1),'Registro Incidencias'!B$5:B$200,"&lt;="&amp;DATE(2026,10+1,0),'Registro Incidencias'!S$5:S$200,"Raúl"),0)</f>
        <v>0</v>
      </c>
      <c r="Q67" s="107">
        <f t="shared" si="10"/>
        <v>0</v>
      </c>
      <c r="R67" s="41">
        <f>IFERROR(D67/DAY(DATE(2026,10+1,0)),0)</f>
        <v>0</v>
      </c>
    </row>
    <row r="68" spans="1:18" x14ac:dyDescent="0.25">
      <c r="A68" s="22"/>
      <c r="B68" s="108" t="s">
        <v>78</v>
      </c>
      <c r="C68" s="28">
        <v>17.5</v>
      </c>
      <c r="D68" s="22">
        <f>COUNTIFS('Registro Incidencias'!B$5:B$200,"&gt;="&amp;DATE(2026,10,1),'Registro Incidencias'!B$5:B$200,"&lt;="&amp;DATE(2026,10+1,0),'Registro Incidencias'!S$5:S$200,"Juan Luis")</f>
        <v>0</v>
      </c>
      <c r="E68" s="22">
        <f>COUNTIFS('Registro Incidencias'!B$5:B$200,"&gt;="&amp;DATE(2026,10,1),'Registro Incidencias'!B$5:B$200,"&lt;="&amp;DATE(2026,10+1,0),'Registro Incidencias'!S$5:S$200,"Juan Luis",'Registro Incidencias'!AK$5:AK$200,"*Resuelta*")+COUNTIFS('Registro Incidencias'!B$5:B$200,"&gt;="&amp;DATE(2026,10,1),'Registro Incidencias'!B$5:B$200,"&lt;="&amp;DATE(2026,10+1,0),'Registro Incidencias'!S$5:S$200,"Juan Luis",'Registro Incidencias'!AK$5:AK$200,"*Cerrada*")</f>
        <v>0</v>
      </c>
      <c r="F68" s="109">
        <f t="shared" si="8"/>
        <v>0</v>
      </c>
      <c r="G68" s="22">
        <f>COUNTIFS('Registro Incidencias'!B$5:B$200,"&gt;="&amp;DATE(2026,10,1),'Registro Incidencias'!B$5:B$200,"&lt;="&amp;DATE(2026,10+1,0),'Registro Incidencias'!S$5:S$200,"Juan Luis",'Registro Incidencias'!AD$5:AD$200,"&gt;1")</f>
        <v>0</v>
      </c>
      <c r="H68" s="22">
        <f>COUNTIFS('Registro Incidencias'!B$5:B$200,"&gt;="&amp;DATE(2026,10,1),'Registro Incidencias'!B$5:B$200,"&lt;="&amp;DATE(2026,10+1,0),'Registro Incidencias'!S$5:S$200,"Juan Luis",'Registro Incidencias'!AE$5:AE$200,"Fallo del técnico")</f>
        <v>0</v>
      </c>
      <c r="I68" s="22">
        <f>COUNTIFS('Registro Incidencias'!B$5:B$200,"&gt;="&amp;DATE(2026,10,1),'Registro Incidencias'!B$5:B$200,"&lt;="&amp;DATE(2026,10+1,0),'Registro Incidencias'!S$5:S$200,"Juan Luis",'Registro Incidencias'!AE$5:AE$200,"Falta de material")</f>
        <v>0</v>
      </c>
      <c r="J68" s="22">
        <f>COUNTIFS('Registro Incidencias'!B$5:B$200,"&gt;="&amp;DATE(2026,10,1),'Registro Incidencias'!B$5:B$200,"&lt;="&amp;DATE(2026,10+1,0),'Registro Incidencias'!S$5:S$200,"Juan Luis",'Registro Incidencias'!AE$5:AE$200,"Causa del cliente")</f>
        <v>0</v>
      </c>
      <c r="K68" s="28">
        <f>SUMIFS('Registro Incidencias'!AQ$5:AQ$200,'Registro Incidencias'!B$5:B$200,"&gt;="&amp;DATE(2026,10,1),'Registro Incidencias'!B$5:B$200,"&lt;="&amp;DATE(2026,10+1,0),'Registro Incidencias'!S$5:S$200,"Juan Luis")</f>
        <v>0</v>
      </c>
      <c r="L68" s="28">
        <f>SUMIFS('Registro Incidencias'!AR$5:AR$200,'Registro Incidencias'!B$5:B$200,"&gt;="&amp;DATE(2026,10,1),'Registro Incidencias'!B$5:B$200,"&lt;="&amp;DATE(2026,10+1,0),'Registro Incidencias'!S$5:S$200,"Juan Luis")</f>
        <v>0</v>
      </c>
      <c r="M68" s="28">
        <f>SUMIFS('Registro Incidencias'!AG$5:AG$200,'Registro Incidencias'!B$5:B$200,"&gt;="&amp;DATE(2026,10,1),'Registro Incidencias'!B$5:B$200,"&lt;="&amp;DATE(2026,10+1,0),'Registro Incidencias'!S$5:S$200,"Juan Luis")</f>
        <v>0</v>
      </c>
      <c r="N68" s="119">
        <f t="shared" si="9"/>
        <v>0</v>
      </c>
      <c r="O68" s="22">
        <f>SUMIFS('Registro Incidencias'!X$5:X$200,'Registro Incidencias'!B$5:B$200,"&gt;="&amp;DATE(2026,10,1),'Registro Incidencias'!B$5:B$200,"&lt;="&amp;DATE(2026,10+1,0),'Registro Incidencias'!S$5:S$200,"Juan Luis")</f>
        <v>0</v>
      </c>
      <c r="P68" s="30">
        <f>IFERROR(AVERAGEIFS('Registro Incidencias'!AO$5:AO$200,'Registro Incidencias'!B$5:B$200,"&gt;="&amp;DATE(2026,10,1),'Registro Incidencias'!B$5:B$200,"&lt;="&amp;DATE(2026,10+1,0),'Registro Incidencias'!S$5:S$200,"Juan Luis"),0)</f>
        <v>0</v>
      </c>
      <c r="Q68" s="109">
        <f t="shared" si="10"/>
        <v>0</v>
      </c>
      <c r="R68" s="30">
        <f>IFERROR(D68/DAY(DATE(2026,10+1,0)),0)</f>
        <v>0</v>
      </c>
    </row>
    <row r="69" spans="1:18" x14ac:dyDescent="0.25">
      <c r="A69" s="33"/>
      <c r="B69" s="106" t="s">
        <v>79</v>
      </c>
      <c r="C69" s="39">
        <v>13.5</v>
      </c>
      <c r="D69" s="33">
        <f>COUNTIFS('Registro Incidencias'!B$5:B$200,"&gt;="&amp;DATE(2026,10,1),'Registro Incidencias'!B$5:B$200,"&lt;="&amp;DATE(2026,10+1,0),'Registro Incidencias'!S$5:S$200,"Paco")</f>
        <v>0</v>
      </c>
      <c r="E69" s="33">
        <f>COUNTIFS('Registro Incidencias'!B$5:B$200,"&gt;="&amp;DATE(2026,10,1),'Registro Incidencias'!B$5:B$200,"&lt;="&amp;DATE(2026,10+1,0),'Registro Incidencias'!S$5:S$200,"Paco",'Registro Incidencias'!AK$5:AK$200,"*Resuelta*")+COUNTIFS('Registro Incidencias'!B$5:B$200,"&gt;="&amp;DATE(2026,10,1),'Registro Incidencias'!B$5:B$200,"&lt;="&amp;DATE(2026,10+1,0),'Registro Incidencias'!S$5:S$200,"Paco",'Registro Incidencias'!AK$5:AK$200,"*Cerrada*")</f>
        <v>0</v>
      </c>
      <c r="F69" s="107">
        <f t="shared" si="8"/>
        <v>0</v>
      </c>
      <c r="G69" s="33">
        <f>COUNTIFS('Registro Incidencias'!B$5:B$200,"&gt;="&amp;DATE(2026,10,1),'Registro Incidencias'!B$5:B$200,"&lt;="&amp;DATE(2026,10+1,0),'Registro Incidencias'!S$5:S$200,"Paco",'Registro Incidencias'!AD$5:AD$200,"&gt;1")</f>
        <v>0</v>
      </c>
      <c r="H69" s="33">
        <f>COUNTIFS('Registro Incidencias'!B$5:B$200,"&gt;="&amp;DATE(2026,10,1),'Registro Incidencias'!B$5:B$200,"&lt;="&amp;DATE(2026,10+1,0),'Registro Incidencias'!S$5:S$200,"Paco",'Registro Incidencias'!AE$5:AE$200,"Fallo del técnico")</f>
        <v>0</v>
      </c>
      <c r="I69" s="33">
        <f>COUNTIFS('Registro Incidencias'!B$5:B$200,"&gt;="&amp;DATE(2026,10,1),'Registro Incidencias'!B$5:B$200,"&lt;="&amp;DATE(2026,10+1,0),'Registro Incidencias'!S$5:S$200,"Paco",'Registro Incidencias'!AE$5:AE$200,"Falta de material")</f>
        <v>0</v>
      </c>
      <c r="J69" s="33">
        <f>COUNTIFS('Registro Incidencias'!B$5:B$200,"&gt;="&amp;DATE(2026,10,1),'Registro Incidencias'!B$5:B$200,"&lt;="&amp;DATE(2026,10+1,0),'Registro Incidencias'!S$5:S$200,"Paco",'Registro Incidencias'!AE$5:AE$200,"Causa del cliente")</f>
        <v>0</v>
      </c>
      <c r="K69" s="39">
        <f>SUMIFS('Registro Incidencias'!AQ$5:AQ$200,'Registro Incidencias'!B$5:B$200,"&gt;="&amp;DATE(2026,10,1),'Registro Incidencias'!B$5:B$200,"&lt;="&amp;DATE(2026,10+1,0),'Registro Incidencias'!S$5:S$200,"Paco")</f>
        <v>0</v>
      </c>
      <c r="L69" s="39">
        <f>SUMIFS('Registro Incidencias'!AR$5:AR$200,'Registro Incidencias'!B$5:B$200,"&gt;="&amp;DATE(2026,10,1),'Registro Incidencias'!B$5:B$200,"&lt;="&amp;DATE(2026,10+1,0),'Registro Incidencias'!S$5:S$200,"Paco")</f>
        <v>0</v>
      </c>
      <c r="M69" s="39">
        <f>SUMIFS('Registro Incidencias'!AG$5:AG$200,'Registro Incidencias'!B$5:B$200,"&gt;="&amp;DATE(2026,10,1),'Registro Incidencias'!B$5:B$200,"&lt;="&amp;DATE(2026,10+1,0),'Registro Incidencias'!S$5:S$200,"Paco")</f>
        <v>0</v>
      </c>
      <c r="N69" s="117">
        <f t="shared" si="9"/>
        <v>0</v>
      </c>
      <c r="O69" s="33">
        <f>SUMIFS('Registro Incidencias'!X$5:X$200,'Registro Incidencias'!B$5:B$200,"&gt;="&amp;DATE(2026,10,1),'Registro Incidencias'!B$5:B$200,"&lt;="&amp;DATE(2026,10+1,0),'Registro Incidencias'!S$5:S$200,"Paco")</f>
        <v>0</v>
      </c>
      <c r="P69" s="41">
        <f>IFERROR(AVERAGEIFS('Registro Incidencias'!AO$5:AO$200,'Registro Incidencias'!B$5:B$200,"&gt;="&amp;DATE(2026,10,1),'Registro Incidencias'!B$5:B$200,"&lt;="&amp;DATE(2026,10+1,0),'Registro Incidencias'!S$5:S$200,"Paco"),0)</f>
        <v>0</v>
      </c>
      <c r="Q69" s="107">
        <f t="shared" si="10"/>
        <v>0</v>
      </c>
      <c r="R69" s="41">
        <f>IFERROR(D69/DAY(DATE(2026,10+1,0)),0)</f>
        <v>0</v>
      </c>
    </row>
    <row r="70" spans="1:18" x14ac:dyDescent="0.25">
      <c r="A70" s="22"/>
      <c r="B70" s="108" t="s">
        <v>80</v>
      </c>
      <c r="C70" s="28">
        <v>18.899999999999999</v>
      </c>
      <c r="D70" s="22">
        <f>COUNTIFS('Registro Incidencias'!B$5:B$200,"&gt;="&amp;DATE(2026,10,1),'Registro Incidencias'!B$5:B$200,"&lt;="&amp;DATE(2026,10+1,0),'Registro Incidencias'!S$5:S$200,"Juan Manuel")</f>
        <v>0</v>
      </c>
      <c r="E70" s="22">
        <f>COUNTIFS('Registro Incidencias'!B$5:B$200,"&gt;="&amp;DATE(2026,10,1),'Registro Incidencias'!B$5:B$200,"&lt;="&amp;DATE(2026,10+1,0),'Registro Incidencias'!S$5:S$200,"Juan Manuel",'Registro Incidencias'!AK$5:AK$200,"*Resuelta*")+COUNTIFS('Registro Incidencias'!B$5:B$200,"&gt;="&amp;DATE(2026,10,1),'Registro Incidencias'!B$5:B$200,"&lt;="&amp;DATE(2026,10+1,0),'Registro Incidencias'!S$5:S$200,"Juan Manuel",'Registro Incidencias'!AK$5:AK$200,"*Cerrada*")</f>
        <v>0</v>
      </c>
      <c r="F70" s="109">
        <f t="shared" si="8"/>
        <v>0</v>
      </c>
      <c r="G70" s="22">
        <f>COUNTIFS('Registro Incidencias'!B$5:B$200,"&gt;="&amp;DATE(2026,10,1),'Registro Incidencias'!B$5:B$200,"&lt;="&amp;DATE(2026,10+1,0),'Registro Incidencias'!S$5:S$200,"Juan Manuel",'Registro Incidencias'!AD$5:AD$200,"&gt;1")</f>
        <v>0</v>
      </c>
      <c r="H70" s="22">
        <f>COUNTIFS('Registro Incidencias'!B$5:B$200,"&gt;="&amp;DATE(2026,10,1),'Registro Incidencias'!B$5:B$200,"&lt;="&amp;DATE(2026,10+1,0),'Registro Incidencias'!S$5:S$200,"Juan Manuel",'Registro Incidencias'!AE$5:AE$200,"Fallo del técnico")</f>
        <v>0</v>
      </c>
      <c r="I70" s="22">
        <f>COUNTIFS('Registro Incidencias'!B$5:B$200,"&gt;="&amp;DATE(2026,10,1),'Registro Incidencias'!B$5:B$200,"&lt;="&amp;DATE(2026,10+1,0),'Registro Incidencias'!S$5:S$200,"Juan Manuel",'Registro Incidencias'!AE$5:AE$200,"Falta de material")</f>
        <v>0</v>
      </c>
      <c r="J70" s="22">
        <f>COUNTIFS('Registro Incidencias'!B$5:B$200,"&gt;="&amp;DATE(2026,10,1),'Registro Incidencias'!B$5:B$200,"&lt;="&amp;DATE(2026,10+1,0),'Registro Incidencias'!S$5:S$200,"Juan Manuel",'Registro Incidencias'!AE$5:AE$200,"Causa del cliente")</f>
        <v>0</v>
      </c>
      <c r="K70" s="28">
        <f>SUMIFS('Registro Incidencias'!AQ$5:AQ$200,'Registro Incidencias'!B$5:B$200,"&gt;="&amp;DATE(2026,10,1),'Registro Incidencias'!B$5:B$200,"&lt;="&amp;DATE(2026,10+1,0),'Registro Incidencias'!S$5:S$200,"Juan Manuel")</f>
        <v>0</v>
      </c>
      <c r="L70" s="28">
        <f>SUMIFS('Registro Incidencias'!AR$5:AR$200,'Registro Incidencias'!B$5:B$200,"&gt;="&amp;DATE(2026,10,1),'Registro Incidencias'!B$5:B$200,"&lt;="&amp;DATE(2026,10+1,0),'Registro Incidencias'!S$5:S$200,"Juan Manuel")</f>
        <v>0</v>
      </c>
      <c r="M70" s="28">
        <f>SUMIFS('Registro Incidencias'!AG$5:AG$200,'Registro Incidencias'!B$5:B$200,"&gt;="&amp;DATE(2026,10,1),'Registro Incidencias'!B$5:B$200,"&lt;="&amp;DATE(2026,10+1,0),'Registro Incidencias'!S$5:S$200,"Juan Manuel")</f>
        <v>0</v>
      </c>
      <c r="N70" s="119">
        <f t="shared" si="9"/>
        <v>0</v>
      </c>
      <c r="O70" s="22">
        <f>SUMIFS('Registro Incidencias'!X$5:X$200,'Registro Incidencias'!B$5:B$200,"&gt;="&amp;DATE(2026,10,1),'Registro Incidencias'!B$5:B$200,"&lt;="&amp;DATE(2026,10+1,0),'Registro Incidencias'!S$5:S$200,"Juan Manuel")</f>
        <v>0</v>
      </c>
      <c r="P70" s="30">
        <f>IFERROR(AVERAGEIFS('Registro Incidencias'!AO$5:AO$200,'Registro Incidencias'!B$5:B$200,"&gt;="&amp;DATE(2026,10,1),'Registro Incidencias'!B$5:B$200,"&lt;="&amp;DATE(2026,10+1,0),'Registro Incidencias'!S$5:S$200,"Juan Manuel"),0)</f>
        <v>0</v>
      </c>
      <c r="Q70" s="109">
        <f t="shared" si="10"/>
        <v>0</v>
      </c>
      <c r="R70" s="30">
        <f>IFERROR(D70/DAY(DATE(2026,10+1,0)),0)</f>
        <v>0</v>
      </c>
    </row>
    <row r="71" spans="1:18" x14ac:dyDescent="0.25">
      <c r="A71" s="33"/>
      <c r="B71" s="106" t="s">
        <v>81</v>
      </c>
      <c r="C71" s="39">
        <v>13.5</v>
      </c>
      <c r="D71" s="33">
        <f>COUNTIFS('Registro Incidencias'!B$5:B$200,"&gt;="&amp;DATE(2026,10,1),'Registro Incidencias'!B$5:B$200,"&lt;="&amp;DATE(2026,10+1,0),'Registro Incidencias'!S$5:S$200,"Adrián")</f>
        <v>0</v>
      </c>
      <c r="E71" s="33">
        <f>COUNTIFS('Registro Incidencias'!B$5:B$200,"&gt;="&amp;DATE(2026,10,1),'Registro Incidencias'!B$5:B$200,"&lt;="&amp;DATE(2026,10+1,0),'Registro Incidencias'!S$5:S$200,"Adrián",'Registro Incidencias'!AK$5:AK$200,"*Resuelta*")+COUNTIFS('Registro Incidencias'!B$5:B$200,"&gt;="&amp;DATE(2026,10,1),'Registro Incidencias'!B$5:B$200,"&lt;="&amp;DATE(2026,10+1,0),'Registro Incidencias'!S$5:S$200,"Adrián",'Registro Incidencias'!AK$5:AK$200,"*Cerrada*")</f>
        <v>0</v>
      </c>
      <c r="F71" s="107">
        <f t="shared" si="8"/>
        <v>0</v>
      </c>
      <c r="G71" s="33">
        <f>COUNTIFS('Registro Incidencias'!B$5:B$200,"&gt;="&amp;DATE(2026,10,1),'Registro Incidencias'!B$5:B$200,"&lt;="&amp;DATE(2026,10+1,0),'Registro Incidencias'!S$5:S$200,"Adrián",'Registro Incidencias'!AD$5:AD$200,"&gt;1")</f>
        <v>0</v>
      </c>
      <c r="H71" s="33">
        <f>COUNTIFS('Registro Incidencias'!B$5:B$200,"&gt;="&amp;DATE(2026,10,1),'Registro Incidencias'!B$5:B$200,"&lt;="&amp;DATE(2026,10+1,0),'Registro Incidencias'!S$5:S$200,"Adrián",'Registro Incidencias'!AE$5:AE$200,"Fallo del técnico")</f>
        <v>0</v>
      </c>
      <c r="I71" s="33">
        <f>COUNTIFS('Registro Incidencias'!B$5:B$200,"&gt;="&amp;DATE(2026,10,1),'Registro Incidencias'!B$5:B$200,"&lt;="&amp;DATE(2026,10+1,0),'Registro Incidencias'!S$5:S$200,"Adrián",'Registro Incidencias'!AE$5:AE$200,"Falta de material")</f>
        <v>0</v>
      </c>
      <c r="J71" s="33">
        <f>COUNTIFS('Registro Incidencias'!B$5:B$200,"&gt;="&amp;DATE(2026,10,1),'Registro Incidencias'!B$5:B$200,"&lt;="&amp;DATE(2026,10+1,0),'Registro Incidencias'!S$5:S$200,"Adrián",'Registro Incidencias'!AE$5:AE$200,"Causa del cliente")</f>
        <v>0</v>
      </c>
      <c r="K71" s="39">
        <f>SUMIFS('Registro Incidencias'!AQ$5:AQ$200,'Registro Incidencias'!B$5:B$200,"&gt;="&amp;DATE(2026,10,1),'Registro Incidencias'!B$5:B$200,"&lt;="&amp;DATE(2026,10+1,0),'Registro Incidencias'!S$5:S$200,"Adrián")</f>
        <v>0</v>
      </c>
      <c r="L71" s="39">
        <f>SUMIFS('Registro Incidencias'!AR$5:AR$200,'Registro Incidencias'!B$5:B$200,"&gt;="&amp;DATE(2026,10,1),'Registro Incidencias'!B$5:B$200,"&lt;="&amp;DATE(2026,10+1,0),'Registro Incidencias'!S$5:S$200,"Adrián")</f>
        <v>0</v>
      </c>
      <c r="M71" s="39">
        <f>SUMIFS('Registro Incidencias'!AG$5:AG$200,'Registro Incidencias'!B$5:B$200,"&gt;="&amp;DATE(2026,10,1),'Registro Incidencias'!B$5:B$200,"&lt;="&amp;DATE(2026,10+1,0),'Registro Incidencias'!S$5:S$200,"Adrián")</f>
        <v>0</v>
      </c>
      <c r="N71" s="117">
        <f t="shared" si="9"/>
        <v>0</v>
      </c>
      <c r="O71" s="33">
        <f>SUMIFS('Registro Incidencias'!X$5:X$200,'Registro Incidencias'!B$5:B$200,"&gt;="&amp;DATE(2026,10,1),'Registro Incidencias'!B$5:B$200,"&lt;="&amp;DATE(2026,10+1,0),'Registro Incidencias'!S$5:S$200,"Adrián")</f>
        <v>0</v>
      </c>
      <c r="P71" s="41">
        <f>IFERROR(AVERAGEIFS('Registro Incidencias'!AO$5:AO$200,'Registro Incidencias'!B$5:B$200,"&gt;="&amp;DATE(2026,10,1),'Registro Incidencias'!B$5:B$200,"&lt;="&amp;DATE(2026,10+1,0),'Registro Incidencias'!S$5:S$200,"Adrián"),0)</f>
        <v>0</v>
      </c>
      <c r="Q71" s="107">
        <f t="shared" si="10"/>
        <v>0</v>
      </c>
      <c r="R71" s="41">
        <f>IFERROR(D71/DAY(DATE(2026,10+1,0)),0)</f>
        <v>0</v>
      </c>
    </row>
    <row r="72" spans="1:18" x14ac:dyDescent="0.25">
      <c r="A72" s="106" t="s">
        <v>276</v>
      </c>
      <c r="B72" s="106" t="s">
        <v>77</v>
      </c>
      <c r="C72" s="39">
        <v>15.8</v>
      </c>
      <c r="D72" s="33">
        <f>COUNTIFS('Registro Incidencias'!B$5:B$200,"&gt;="&amp;DATE(2026,11,1),'Registro Incidencias'!B$5:B$200,"&lt;="&amp;DATE(2026,11+1,0),'Registro Incidencias'!S$5:S$200,"Raúl")</f>
        <v>0</v>
      </c>
      <c r="E72" s="33">
        <f>COUNTIFS('Registro Incidencias'!B$5:B$200,"&gt;="&amp;DATE(2026,11,1),'Registro Incidencias'!B$5:B$200,"&lt;="&amp;DATE(2026,11+1,0),'Registro Incidencias'!S$5:S$200,"Raúl",'Registro Incidencias'!AK$5:AK$200,"*Resuelta*")+COUNTIFS('Registro Incidencias'!B$5:B$200,"&gt;="&amp;DATE(2026,11,1),'Registro Incidencias'!B$5:B$200,"&lt;="&amp;DATE(2026,11+1,0),'Registro Incidencias'!S$5:S$200,"Raúl",'Registro Incidencias'!AK$5:AK$200,"*Cerrada*")</f>
        <v>0</v>
      </c>
      <c r="F72" s="107">
        <f t="shared" si="8"/>
        <v>0</v>
      </c>
      <c r="G72" s="33">
        <f>COUNTIFS('Registro Incidencias'!B$5:B$200,"&gt;="&amp;DATE(2026,11,1),'Registro Incidencias'!B$5:B$200,"&lt;="&amp;DATE(2026,11+1,0),'Registro Incidencias'!S$5:S$200,"Raúl",'Registro Incidencias'!AD$5:AD$200,"&gt;1")</f>
        <v>0</v>
      </c>
      <c r="H72" s="33">
        <f>COUNTIFS('Registro Incidencias'!B$5:B$200,"&gt;="&amp;DATE(2026,11,1),'Registro Incidencias'!B$5:B$200,"&lt;="&amp;DATE(2026,11+1,0),'Registro Incidencias'!S$5:S$200,"Raúl",'Registro Incidencias'!AE$5:AE$200,"Fallo del técnico")</f>
        <v>0</v>
      </c>
      <c r="I72" s="33">
        <f>COUNTIFS('Registro Incidencias'!B$5:B$200,"&gt;="&amp;DATE(2026,11,1),'Registro Incidencias'!B$5:B$200,"&lt;="&amp;DATE(2026,11+1,0),'Registro Incidencias'!S$5:S$200,"Raúl",'Registro Incidencias'!AE$5:AE$200,"Falta de material")</f>
        <v>0</v>
      </c>
      <c r="J72" s="33">
        <f>COUNTIFS('Registro Incidencias'!B$5:B$200,"&gt;="&amp;DATE(2026,11,1),'Registro Incidencias'!B$5:B$200,"&lt;="&amp;DATE(2026,11+1,0),'Registro Incidencias'!S$5:S$200,"Raúl",'Registro Incidencias'!AE$5:AE$200,"Causa del cliente")</f>
        <v>0</v>
      </c>
      <c r="K72" s="39">
        <f>SUMIFS('Registro Incidencias'!AQ$5:AQ$200,'Registro Incidencias'!B$5:B$200,"&gt;="&amp;DATE(2026,11,1),'Registro Incidencias'!B$5:B$200,"&lt;="&amp;DATE(2026,11+1,0),'Registro Incidencias'!S$5:S$200,"Raúl")</f>
        <v>0</v>
      </c>
      <c r="L72" s="39">
        <f>SUMIFS('Registro Incidencias'!AR$5:AR$200,'Registro Incidencias'!B$5:B$200,"&gt;="&amp;DATE(2026,11,1),'Registro Incidencias'!B$5:B$200,"&lt;="&amp;DATE(2026,11+1,0),'Registro Incidencias'!S$5:S$200,"Raúl")</f>
        <v>0</v>
      </c>
      <c r="M72" s="39">
        <f>SUMIFS('Registro Incidencias'!AG$5:AG$200,'Registro Incidencias'!B$5:B$200,"&gt;="&amp;DATE(2026,11,1),'Registro Incidencias'!B$5:B$200,"&lt;="&amp;DATE(2026,11+1,0),'Registro Incidencias'!S$5:S$200,"Raúl")</f>
        <v>0</v>
      </c>
      <c r="N72" s="117">
        <f t="shared" si="9"/>
        <v>0</v>
      </c>
      <c r="O72" s="33">
        <f>SUMIFS('Registro Incidencias'!X$5:X$200,'Registro Incidencias'!B$5:B$200,"&gt;="&amp;DATE(2026,11,1),'Registro Incidencias'!B$5:B$200,"&lt;="&amp;DATE(2026,11+1,0),'Registro Incidencias'!S$5:S$200,"Raúl")</f>
        <v>0</v>
      </c>
      <c r="P72" s="41">
        <f>IFERROR(AVERAGEIFS('Registro Incidencias'!AO$5:AO$200,'Registro Incidencias'!B$5:B$200,"&gt;="&amp;DATE(2026,11,1),'Registro Incidencias'!B$5:B$200,"&lt;="&amp;DATE(2026,11+1,0),'Registro Incidencias'!S$5:S$200,"Raúl"),0)</f>
        <v>0</v>
      </c>
      <c r="Q72" s="107">
        <f t="shared" si="10"/>
        <v>0</v>
      </c>
      <c r="R72" s="41">
        <f>IFERROR(D72/DAY(DATE(2026,11+1,0)),0)</f>
        <v>0</v>
      </c>
    </row>
    <row r="73" spans="1:18" x14ac:dyDescent="0.25">
      <c r="A73" s="22"/>
      <c r="B73" s="108" t="s">
        <v>78</v>
      </c>
      <c r="C73" s="28">
        <v>17.5</v>
      </c>
      <c r="D73" s="22">
        <f>COUNTIFS('Registro Incidencias'!B$5:B$200,"&gt;="&amp;DATE(2026,11,1),'Registro Incidencias'!B$5:B$200,"&lt;="&amp;DATE(2026,11+1,0),'Registro Incidencias'!S$5:S$200,"Juan Luis")</f>
        <v>0</v>
      </c>
      <c r="E73" s="22">
        <f>COUNTIFS('Registro Incidencias'!B$5:B$200,"&gt;="&amp;DATE(2026,11,1),'Registro Incidencias'!B$5:B$200,"&lt;="&amp;DATE(2026,11+1,0),'Registro Incidencias'!S$5:S$200,"Juan Luis",'Registro Incidencias'!AK$5:AK$200,"*Resuelta*")+COUNTIFS('Registro Incidencias'!B$5:B$200,"&gt;="&amp;DATE(2026,11,1),'Registro Incidencias'!B$5:B$200,"&lt;="&amp;DATE(2026,11+1,0),'Registro Incidencias'!S$5:S$200,"Juan Luis",'Registro Incidencias'!AK$5:AK$200,"*Cerrada*")</f>
        <v>0</v>
      </c>
      <c r="F73" s="109">
        <f t="shared" si="8"/>
        <v>0</v>
      </c>
      <c r="G73" s="22">
        <f>COUNTIFS('Registro Incidencias'!B$5:B$200,"&gt;="&amp;DATE(2026,11,1),'Registro Incidencias'!B$5:B$200,"&lt;="&amp;DATE(2026,11+1,0),'Registro Incidencias'!S$5:S$200,"Juan Luis",'Registro Incidencias'!AD$5:AD$200,"&gt;1")</f>
        <v>0</v>
      </c>
      <c r="H73" s="22">
        <f>COUNTIFS('Registro Incidencias'!B$5:B$200,"&gt;="&amp;DATE(2026,11,1),'Registro Incidencias'!B$5:B$200,"&lt;="&amp;DATE(2026,11+1,0),'Registro Incidencias'!S$5:S$200,"Juan Luis",'Registro Incidencias'!AE$5:AE$200,"Fallo del técnico")</f>
        <v>0</v>
      </c>
      <c r="I73" s="22">
        <f>COUNTIFS('Registro Incidencias'!B$5:B$200,"&gt;="&amp;DATE(2026,11,1),'Registro Incidencias'!B$5:B$200,"&lt;="&amp;DATE(2026,11+1,0),'Registro Incidencias'!S$5:S$200,"Juan Luis",'Registro Incidencias'!AE$5:AE$200,"Falta de material")</f>
        <v>0</v>
      </c>
      <c r="J73" s="22">
        <f>COUNTIFS('Registro Incidencias'!B$5:B$200,"&gt;="&amp;DATE(2026,11,1),'Registro Incidencias'!B$5:B$200,"&lt;="&amp;DATE(2026,11+1,0),'Registro Incidencias'!S$5:S$200,"Juan Luis",'Registro Incidencias'!AE$5:AE$200,"Causa del cliente")</f>
        <v>0</v>
      </c>
      <c r="K73" s="28">
        <f>SUMIFS('Registro Incidencias'!AQ$5:AQ$200,'Registro Incidencias'!B$5:B$200,"&gt;="&amp;DATE(2026,11,1),'Registro Incidencias'!B$5:B$200,"&lt;="&amp;DATE(2026,11+1,0),'Registro Incidencias'!S$5:S$200,"Juan Luis")</f>
        <v>0</v>
      </c>
      <c r="L73" s="28">
        <f>SUMIFS('Registro Incidencias'!AR$5:AR$200,'Registro Incidencias'!B$5:B$200,"&gt;="&amp;DATE(2026,11,1),'Registro Incidencias'!B$5:B$200,"&lt;="&amp;DATE(2026,11+1,0),'Registro Incidencias'!S$5:S$200,"Juan Luis")</f>
        <v>0</v>
      </c>
      <c r="M73" s="28">
        <f>SUMIFS('Registro Incidencias'!AG$5:AG$200,'Registro Incidencias'!B$5:B$200,"&gt;="&amp;DATE(2026,11,1),'Registro Incidencias'!B$5:B$200,"&lt;="&amp;DATE(2026,11+1,0),'Registro Incidencias'!S$5:S$200,"Juan Luis")</f>
        <v>0</v>
      </c>
      <c r="N73" s="119">
        <f t="shared" si="9"/>
        <v>0</v>
      </c>
      <c r="O73" s="22">
        <f>SUMIFS('Registro Incidencias'!X$5:X$200,'Registro Incidencias'!B$5:B$200,"&gt;="&amp;DATE(2026,11,1),'Registro Incidencias'!B$5:B$200,"&lt;="&amp;DATE(2026,11+1,0),'Registro Incidencias'!S$5:S$200,"Juan Luis")</f>
        <v>0</v>
      </c>
      <c r="P73" s="30">
        <f>IFERROR(AVERAGEIFS('Registro Incidencias'!AO$5:AO$200,'Registro Incidencias'!B$5:B$200,"&gt;="&amp;DATE(2026,11,1),'Registro Incidencias'!B$5:B$200,"&lt;="&amp;DATE(2026,11+1,0),'Registro Incidencias'!S$5:S$200,"Juan Luis"),0)</f>
        <v>0</v>
      </c>
      <c r="Q73" s="109">
        <f t="shared" si="10"/>
        <v>0</v>
      </c>
      <c r="R73" s="30">
        <f>IFERROR(D73/DAY(DATE(2026,11+1,0)),0)</f>
        <v>0</v>
      </c>
    </row>
    <row r="74" spans="1:18" x14ac:dyDescent="0.25">
      <c r="A74" s="33"/>
      <c r="B74" s="106" t="s">
        <v>79</v>
      </c>
      <c r="C74" s="39">
        <v>13.5</v>
      </c>
      <c r="D74" s="33">
        <f>COUNTIFS('Registro Incidencias'!B$5:B$200,"&gt;="&amp;DATE(2026,11,1),'Registro Incidencias'!B$5:B$200,"&lt;="&amp;DATE(2026,11+1,0),'Registro Incidencias'!S$5:S$200,"Paco")</f>
        <v>0</v>
      </c>
      <c r="E74" s="33">
        <f>COUNTIFS('Registro Incidencias'!B$5:B$200,"&gt;="&amp;DATE(2026,11,1),'Registro Incidencias'!B$5:B$200,"&lt;="&amp;DATE(2026,11+1,0),'Registro Incidencias'!S$5:S$200,"Paco",'Registro Incidencias'!AK$5:AK$200,"*Resuelta*")+COUNTIFS('Registro Incidencias'!B$5:B$200,"&gt;="&amp;DATE(2026,11,1),'Registro Incidencias'!B$5:B$200,"&lt;="&amp;DATE(2026,11+1,0),'Registro Incidencias'!S$5:S$200,"Paco",'Registro Incidencias'!AK$5:AK$200,"*Cerrada*")</f>
        <v>0</v>
      </c>
      <c r="F74" s="107">
        <f t="shared" si="8"/>
        <v>0</v>
      </c>
      <c r="G74" s="33">
        <f>COUNTIFS('Registro Incidencias'!B$5:B$200,"&gt;="&amp;DATE(2026,11,1),'Registro Incidencias'!B$5:B$200,"&lt;="&amp;DATE(2026,11+1,0),'Registro Incidencias'!S$5:S$200,"Paco",'Registro Incidencias'!AD$5:AD$200,"&gt;1")</f>
        <v>0</v>
      </c>
      <c r="H74" s="33">
        <f>COUNTIFS('Registro Incidencias'!B$5:B$200,"&gt;="&amp;DATE(2026,11,1),'Registro Incidencias'!B$5:B$200,"&lt;="&amp;DATE(2026,11+1,0),'Registro Incidencias'!S$5:S$200,"Paco",'Registro Incidencias'!AE$5:AE$200,"Fallo del técnico")</f>
        <v>0</v>
      </c>
      <c r="I74" s="33">
        <f>COUNTIFS('Registro Incidencias'!B$5:B$200,"&gt;="&amp;DATE(2026,11,1),'Registro Incidencias'!B$5:B$200,"&lt;="&amp;DATE(2026,11+1,0),'Registro Incidencias'!S$5:S$200,"Paco",'Registro Incidencias'!AE$5:AE$200,"Falta de material")</f>
        <v>0</v>
      </c>
      <c r="J74" s="33">
        <f>COUNTIFS('Registro Incidencias'!B$5:B$200,"&gt;="&amp;DATE(2026,11,1),'Registro Incidencias'!B$5:B$200,"&lt;="&amp;DATE(2026,11+1,0),'Registro Incidencias'!S$5:S$200,"Paco",'Registro Incidencias'!AE$5:AE$200,"Causa del cliente")</f>
        <v>0</v>
      </c>
      <c r="K74" s="39">
        <f>SUMIFS('Registro Incidencias'!AQ$5:AQ$200,'Registro Incidencias'!B$5:B$200,"&gt;="&amp;DATE(2026,11,1),'Registro Incidencias'!B$5:B$200,"&lt;="&amp;DATE(2026,11+1,0),'Registro Incidencias'!S$5:S$200,"Paco")</f>
        <v>0</v>
      </c>
      <c r="L74" s="39">
        <f>SUMIFS('Registro Incidencias'!AR$5:AR$200,'Registro Incidencias'!B$5:B$200,"&gt;="&amp;DATE(2026,11,1),'Registro Incidencias'!B$5:B$200,"&lt;="&amp;DATE(2026,11+1,0),'Registro Incidencias'!S$5:S$200,"Paco")</f>
        <v>0</v>
      </c>
      <c r="M74" s="39">
        <f>SUMIFS('Registro Incidencias'!AG$5:AG$200,'Registro Incidencias'!B$5:B$200,"&gt;="&amp;DATE(2026,11,1),'Registro Incidencias'!B$5:B$200,"&lt;="&amp;DATE(2026,11+1,0),'Registro Incidencias'!S$5:S$200,"Paco")</f>
        <v>0</v>
      </c>
      <c r="N74" s="117">
        <f t="shared" si="9"/>
        <v>0</v>
      </c>
      <c r="O74" s="33">
        <f>SUMIFS('Registro Incidencias'!X$5:X$200,'Registro Incidencias'!B$5:B$200,"&gt;="&amp;DATE(2026,11,1),'Registro Incidencias'!B$5:B$200,"&lt;="&amp;DATE(2026,11+1,0),'Registro Incidencias'!S$5:S$200,"Paco")</f>
        <v>0</v>
      </c>
      <c r="P74" s="41">
        <f>IFERROR(AVERAGEIFS('Registro Incidencias'!AO$5:AO$200,'Registro Incidencias'!B$5:B$200,"&gt;="&amp;DATE(2026,11,1),'Registro Incidencias'!B$5:B$200,"&lt;="&amp;DATE(2026,11+1,0),'Registro Incidencias'!S$5:S$200,"Paco"),0)</f>
        <v>0</v>
      </c>
      <c r="Q74" s="107">
        <f t="shared" si="10"/>
        <v>0</v>
      </c>
      <c r="R74" s="41">
        <f>IFERROR(D74/DAY(DATE(2026,11+1,0)),0)</f>
        <v>0</v>
      </c>
    </row>
    <row r="75" spans="1:18" x14ac:dyDescent="0.25">
      <c r="A75" s="22"/>
      <c r="B75" s="108" t="s">
        <v>80</v>
      </c>
      <c r="C75" s="28">
        <v>18.899999999999999</v>
      </c>
      <c r="D75" s="22">
        <f>COUNTIFS('Registro Incidencias'!B$5:B$200,"&gt;="&amp;DATE(2026,11,1),'Registro Incidencias'!B$5:B$200,"&lt;="&amp;DATE(2026,11+1,0),'Registro Incidencias'!S$5:S$200,"Juan Manuel")</f>
        <v>0</v>
      </c>
      <c r="E75" s="22">
        <f>COUNTIFS('Registro Incidencias'!B$5:B$200,"&gt;="&amp;DATE(2026,11,1),'Registro Incidencias'!B$5:B$200,"&lt;="&amp;DATE(2026,11+1,0),'Registro Incidencias'!S$5:S$200,"Juan Manuel",'Registro Incidencias'!AK$5:AK$200,"*Resuelta*")+COUNTIFS('Registro Incidencias'!B$5:B$200,"&gt;="&amp;DATE(2026,11,1),'Registro Incidencias'!B$5:B$200,"&lt;="&amp;DATE(2026,11+1,0),'Registro Incidencias'!S$5:S$200,"Juan Manuel",'Registro Incidencias'!AK$5:AK$200,"*Cerrada*")</f>
        <v>0</v>
      </c>
      <c r="F75" s="109">
        <f t="shared" si="8"/>
        <v>0</v>
      </c>
      <c r="G75" s="22">
        <f>COUNTIFS('Registro Incidencias'!B$5:B$200,"&gt;="&amp;DATE(2026,11,1),'Registro Incidencias'!B$5:B$200,"&lt;="&amp;DATE(2026,11+1,0),'Registro Incidencias'!S$5:S$200,"Juan Manuel",'Registro Incidencias'!AD$5:AD$200,"&gt;1")</f>
        <v>0</v>
      </c>
      <c r="H75" s="22">
        <f>COUNTIFS('Registro Incidencias'!B$5:B$200,"&gt;="&amp;DATE(2026,11,1),'Registro Incidencias'!B$5:B$200,"&lt;="&amp;DATE(2026,11+1,0),'Registro Incidencias'!S$5:S$200,"Juan Manuel",'Registro Incidencias'!AE$5:AE$200,"Fallo del técnico")</f>
        <v>0</v>
      </c>
      <c r="I75" s="22">
        <f>COUNTIFS('Registro Incidencias'!B$5:B$200,"&gt;="&amp;DATE(2026,11,1),'Registro Incidencias'!B$5:B$200,"&lt;="&amp;DATE(2026,11+1,0),'Registro Incidencias'!S$5:S$200,"Juan Manuel",'Registro Incidencias'!AE$5:AE$200,"Falta de material")</f>
        <v>0</v>
      </c>
      <c r="J75" s="22">
        <f>COUNTIFS('Registro Incidencias'!B$5:B$200,"&gt;="&amp;DATE(2026,11,1),'Registro Incidencias'!B$5:B$200,"&lt;="&amp;DATE(2026,11+1,0),'Registro Incidencias'!S$5:S$200,"Juan Manuel",'Registro Incidencias'!AE$5:AE$200,"Causa del cliente")</f>
        <v>0</v>
      </c>
      <c r="K75" s="28">
        <f>SUMIFS('Registro Incidencias'!AQ$5:AQ$200,'Registro Incidencias'!B$5:B$200,"&gt;="&amp;DATE(2026,11,1),'Registro Incidencias'!B$5:B$200,"&lt;="&amp;DATE(2026,11+1,0),'Registro Incidencias'!S$5:S$200,"Juan Manuel")</f>
        <v>0</v>
      </c>
      <c r="L75" s="28">
        <f>SUMIFS('Registro Incidencias'!AR$5:AR$200,'Registro Incidencias'!B$5:B$200,"&gt;="&amp;DATE(2026,11,1),'Registro Incidencias'!B$5:B$200,"&lt;="&amp;DATE(2026,11+1,0),'Registro Incidencias'!S$5:S$200,"Juan Manuel")</f>
        <v>0</v>
      </c>
      <c r="M75" s="28">
        <f>SUMIFS('Registro Incidencias'!AG$5:AG$200,'Registro Incidencias'!B$5:B$200,"&gt;="&amp;DATE(2026,11,1),'Registro Incidencias'!B$5:B$200,"&lt;="&amp;DATE(2026,11+1,0),'Registro Incidencias'!S$5:S$200,"Juan Manuel")</f>
        <v>0</v>
      </c>
      <c r="N75" s="119">
        <f t="shared" si="9"/>
        <v>0</v>
      </c>
      <c r="O75" s="22">
        <f>SUMIFS('Registro Incidencias'!X$5:X$200,'Registro Incidencias'!B$5:B$200,"&gt;="&amp;DATE(2026,11,1),'Registro Incidencias'!B$5:B$200,"&lt;="&amp;DATE(2026,11+1,0),'Registro Incidencias'!S$5:S$200,"Juan Manuel")</f>
        <v>0</v>
      </c>
      <c r="P75" s="30">
        <f>IFERROR(AVERAGEIFS('Registro Incidencias'!AO$5:AO$200,'Registro Incidencias'!B$5:B$200,"&gt;="&amp;DATE(2026,11,1),'Registro Incidencias'!B$5:B$200,"&lt;="&amp;DATE(2026,11+1,0),'Registro Incidencias'!S$5:S$200,"Juan Manuel"),0)</f>
        <v>0</v>
      </c>
      <c r="Q75" s="109">
        <f t="shared" si="10"/>
        <v>0</v>
      </c>
      <c r="R75" s="30">
        <f>IFERROR(D75/DAY(DATE(2026,11+1,0)),0)</f>
        <v>0</v>
      </c>
    </row>
    <row r="76" spans="1:18" x14ac:dyDescent="0.25">
      <c r="A76" s="33"/>
      <c r="B76" s="106" t="s">
        <v>81</v>
      </c>
      <c r="C76" s="39">
        <v>13.5</v>
      </c>
      <c r="D76" s="33">
        <f>COUNTIFS('Registro Incidencias'!B$5:B$200,"&gt;="&amp;DATE(2026,11,1),'Registro Incidencias'!B$5:B$200,"&lt;="&amp;DATE(2026,11+1,0),'Registro Incidencias'!S$5:S$200,"Adrián")</f>
        <v>0</v>
      </c>
      <c r="E76" s="33">
        <f>COUNTIFS('Registro Incidencias'!B$5:B$200,"&gt;="&amp;DATE(2026,11,1),'Registro Incidencias'!B$5:B$200,"&lt;="&amp;DATE(2026,11+1,0),'Registro Incidencias'!S$5:S$200,"Adrián",'Registro Incidencias'!AK$5:AK$200,"*Resuelta*")+COUNTIFS('Registro Incidencias'!B$5:B$200,"&gt;="&amp;DATE(2026,11,1),'Registro Incidencias'!B$5:B$200,"&lt;="&amp;DATE(2026,11+1,0),'Registro Incidencias'!S$5:S$200,"Adrián",'Registro Incidencias'!AK$5:AK$200,"*Cerrada*")</f>
        <v>0</v>
      </c>
      <c r="F76" s="107">
        <f t="shared" si="8"/>
        <v>0</v>
      </c>
      <c r="G76" s="33">
        <f>COUNTIFS('Registro Incidencias'!B$5:B$200,"&gt;="&amp;DATE(2026,11,1),'Registro Incidencias'!B$5:B$200,"&lt;="&amp;DATE(2026,11+1,0),'Registro Incidencias'!S$5:S$200,"Adrián",'Registro Incidencias'!AD$5:AD$200,"&gt;1")</f>
        <v>0</v>
      </c>
      <c r="H76" s="33">
        <f>COUNTIFS('Registro Incidencias'!B$5:B$200,"&gt;="&amp;DATE(2026,11,1),'Registro Incidencias'!B$5:B$200,"&lt;="&amp;DATE(2026,11+1,0),'Registro Incidencias'!S$5:S$200,"Adrián",'Registro Incidencias'!AE$5:AE$200,"Fallo del técnico")</f>
        <v>0</v>
      </c>
      <c r="I76" s="33">
        <f>COUNTIFS('Registro Incidencias'!B$5:B$200,"&gt;="&amp;DATE(2026,11,1),'Registro Incidencias'!B$5:B$200,"&lt;="&amp;DATE(2026,11+1,0),'Registro Incidencias'!S$5:S$200,"Adrián",'Registro Incidencias'!AE$5:AE$200,"Falta de material")</f>
        <v>0</v>
      </c>
      <c r="J76" s="33">
        <f>COUNTIFS('Registro Incidencias'!B$5:B$200,"&gt;="&amp;DATE(2026,11,1),'Registro Incidencias'!B$5:B$200,"&lt;="&amp;DATE(2026,11+1,0),'Registro Incidencias'!S$5:S$200,"Adrián",'Registro Incidencias'!AE$5:AE$200,"Causa del cliente")</f>
        <v>0</v>
      </c>
      <c r="K76" s="39">
        <f>SUMIFS('Registro Incidencias'!AQ$5:AQ$200,'Registro Incidencias'!B$5:B$200,"&gt;="&amp;DATE(2026,11,1),'Registro Incidencias'!B$5:B$200,"&lt;="&amp;DATE(2026,11+1,0),'Registro Incidencias'!S$5:S$200,"Adrián")</f>
        <v>0</v>
      </c>
      <c r="L76" s="39">
        <f>SUMIFS('Registro Incidencias'!AR$5:AR$200,'Registro Incidencias'!B$5:B$200,"&gt;="&amp;DATE(2026,11,1),'Registro Incidencias'!B$5:B$200,"&lt;="&amp;DATE(2026,11+1,0),'Registro Incidencias'!S$5:S$200,"Adrián")</f>
        <v>0</v>
      </c>
      <c r="M76" s="39">
        <f>SUMIFS('Registro Incidencias'!AG$5:AG$200,'Registro Incidencias'!B$5:B$200,"&gt;="&amp;DATE(2026,11,1),'Registro Incidencias'!B$5:B$200,"&lt;="&amp;DATE(2026,11+1,0),'Registro Incidencias'!S$5:S$200,"Adrián")</f>
        <v>0</v>
      </c>
      <c r="N76" s="117">
        <f t="shared" si="9"/>
        <v>0</v>
      </c>
      <c r="O76" s="33">
        <f>SUMIFS('Registro Incidencias'!X$5:X$200,'Registro Incidencias'!B$5:B$200,"&gt;="&amp;DATE(2026,11,1),'Registro Incidencias'!B$5:B$200,"&lt;="&amp;DATE(2026,11+1,0),'Registro Incidencias'!S$5:S$200,"Adrián")</f>
        <v>0</v>
      </c>
      <c r="P76" s="41">
        <f>IFERROR(AVERAGEIFS('Registro Incidencias'!AO$5:AO$200,'Registro Incidencias'!B$5:B$200,"&gt;="&amp;DATE(2026,11,1),'Registro Incidencias'!B$5:B$200,"&lt;="&amp;DATE(2026,11+1,0),'Registro Incidencias'!S$5:S$200,"Adrián"),0)</f>
        <v>0</v>
      </c>
      <c r="Q76" s="107">
        <f t="shared" si="10"/>
        <v>0</v>
      </c>
      <c r="R76" s="41">
        <f>IFERROR(D76/DAY(DATE(2026,11+1,0)),0)</f>
        <v>0</v>
      </c>
    </row>
    <row r="77" spans="1:18" x14ac:dyDescent="0.25">
      <c r="A77" s="106" t="s">
        <v>277</v>
      </c>
      <c r="B77" s="106" t="s">
        <v>77</v>
      </c>
      <c r="C77" s="39">
        <v>15.8</v>
      </c>
      <c r="D77" s="33">
        <f>COUNTIFS('Registro Incidencias'!B$5:B$200,"&gt;="&amp;DATE(2026,12,1),'Registro Incidencias'!B$5:B$200,"&lt;="&amp;DATE(2026,12+1,0),'Registro Incidencias'!S$5:S$200,"Raúl")</f>
        <v>0</v>
      </c>
      <c r="E77" s="33">
        <f>COUNTIFS('Registro Incidencias'!B$5:B$200,"&gt;="&amp;DATE(2026,12,1),'Registro Incidencias'!B$5:B$200,"&lt;="&amp;DATE(2026,12+1,0),'Registro Incidencias'!S$5:S$200,"Raúl",'Registro Incidencias'!AK$5:AK$200,"*Resuelta*")+COUNTIFS('Registro Incidencias'!B$5:B$200,"&gt;="&amp;DATE(2026,12,1),'Registro Incidencias'!B$5:B$200,"&lt;="&amp;DATE(2026,12+1,0),'Registro Incidencias'!S$5:S$200,"Raúl",'Registro Incidencias'!AK$5:AK$200,"*Cerrada*")</f>
        <v>0</v>
      </c>
      <c r="F77" s="107">
        <f t="shared" si="8"/>
        <v>0</v>
      </c>
      <c r="G77" s="33">
        <f>COUNTIFS('Registro Incidencias'!B$5:B$200,"&gt;="&amp;DATE(2026,12,1),'Registro Incidencias'!B$5:B$200,"&lt;="&amp;DATE(2026,12+1,0),'Registro Incidencias'!S$5:S$200,"Raúl",'Registro Incidencias'!AD$5:AD$200,"&gt;1")</f>
        <v>0</v>
      </c>
      <c r="H77" s="33">
        <f>COUNTIFS('Registro Incidencias'!B$5:B$200,"&gt;="&amp;DATE(2026,12,1),'Registro Incidencias'!B$5:B$200,"&lt;="&amp;DATE(2026,12+1,0),'Registro Incidencias'!S$5:S$200,"Raúl",'Registro Incidencias'!AE$5:AE$200,"Fallo del técnico")</f>
        <v>0</v>
      </c>
      <c r="I77" s="33">
        <f>COUNTIFS('Registro Incidencias'!B$5:B$200,"&gt;="&amp;DATE(2026,12,1),'Registro Incidencias'!B$5:B$200,"&lt;="&amp;DATE(2026,12+1,0),'Registro Incidencias'!S$5:S$200,"Raúl",'Registro Incidencias'!AE$5:AE$200,"Falta de material")</f>
        <v>0</v>
      </c>
      <c r="J77" s="33">
        <f>COUNTIFS('Registro Incidencias'!B$5:B$200,"&gt;="&amp;DATE(2026,12,1),'Registro Incidencias'!B$5:B$200,"&lt;="&amp;DATE(2026,12+1,0),'Registro Incidencias'!S$5:S$200,"Raúl",'Registro Incidencias'!AE$5:AE$200,"Causa del cliente")</f>
        <v>0</v>
      </c>
      <c r="K77" s="39">
        <f>SUMIFS('Registro Incidencias'!AQ$5:AQ$200,'Registro Incidencias'!B$5:B$200,"&gt;="&amp;DATE(2026,12,1),'Registro Incidencias'!B$5:B$200,"&lt;="&amp;DATE(2026,12+1,0),'Registro Incidencias'!S$5:S$200,"Raúl")</f>
        <v>0</v>
      </c>
      <c r="L77" s="39">
        <f>SUMIFS('Registro Incidencias'!AR$5:AR$200,'Registro Incidencias'!B$5:B$200,"&gt;="&amp;DATE(2026,12,1),'Registro Incidencias'!B$5:B$200,"&lt;="&amp;DATE(2026,12+1,0),'Registro Incidencias'!S$5:S$200,"Raúl")</f>
        <v>0</v>
      </c>
      <c r="M77" s="39">
        <f>SUMIFS('Registro Incidencias'!AG$5:AG$200,'Registro Incidencias'!B$5:B$200,"&gt;="&amp;DATE(2026,12,1),'Registro Incidencias'!B$5:B$200,"&lt;="&amp;DATE(2026,12+1,0),'Registro Incidencias'!S$5:S$200,"Raúl")</f>
        <v>0</v>
      </c>
      <c r="N77" s="117">
        <f t="shared" si="9"/>
        <v>0</v>
      </c>
      <c r="O77" s="33">
        <f>SUMIFS('Registro Incidencias'!X$5:X$200,'Registro Incidencias'!B$5:B$200,"&gt;="&amp;DATE(2026,12,1),'Registro Incidencias'!B$5:B$200,"&lt;="&amp;DATE(2026,12+1,0),'Registro Incidencias'!S$5:S$200,"Raúl")</f>
        <v>0</v>
      </c>
      <c r="P77" s="41">
        <f>IFERROR(AVERAGEIFS('Registro Incidencias'!AO$5:AO$200,'Registro Incidencias'!B$5:B$200,"&gt;="&amp;DATE(2026,12,1),'Registro Incidencias'!B$5:B$200,"&lt;="&amp;DATE(2026,12+1,0),'Registro Incidencias'!S$5:S$200,"Raúl"),0)</f>
        <v>0</v>
      </c>
      <c r="Q77" s="107">
        <f t="shared" si="10"/>
        <v>0</v>
      </c>
      <c r="R77" s="41">
        <f>IFERROR(D77/DAY(DATE(2026,12+1,0)),0)</f>
        <v>0</v>
      </c>
    </row>
    <row r="78" spans="1:18" x14ac:dyDescent="0.25">
      <c r="A78" s="22"/>
      <c r="B78" s="108" t="s">
        <v>78</v>
      </c>
      <c r="C78" s="28">
        <v>17.5</v>
      </c>
      <c r="D78" s="22">
        <f>COUNTIFS('Registro Incidencias'!B$5:B$200,"&gt;="&amp;DATE(2026,12,1),'Registro Incidencias'!B$5:B$200,"&lt;="&amp;DATE(2026,12+1,0),'Registro Incidencias'!S$5:S$200,"Juan Luis")</f>
        <v>0</v>
      </c>
      <c r="E78" s="22">
        <f>COUNTIFS('Registro Incidencias'!B$5:B$200,"&gt;="&amp;DATE(2026,12,1),'Registro Incidencias'!B$5:B$200,"&lt;="&amp;DATE(2026,12+1,0),'Registro Incidencias'!S$5:S$200,"Juan Luis",'Registro Incidencias'!AK$5:AK$200,"*Resuelta*")+COUNTIFS('Registro Incidencias'!B$5:B$200,"&gt;="&amp;DATE(2026,12,1),'Registro Incidencias'!B$5:B$200,"&lt;="&amp;DATE(2026,12+1,0),'Registro Incidencias'!S$5:S$200,"Juan Luis",'Registro Incidencias'!AK$5:AK$200,"*Cerrada*")</f>
        <v>0</v>
      </c>
      <c r="F78" s="109">
        <f t="shared" si="8"/>
        <v>0</v>
      </c>
      <c r="G78" s="22">
        <f>COUNTIFS('Registro Incidencias'!B$5:B$200,"&gt;="&amp;DATE(2026,12,1),'Registro Incidencias'!B$5:B$200,"&lt;="&amp;DATE(2026,12+1,0),'Registro Incidencias'!S$5:S$200,"Juan Luis",'Registro Incidencias'!AD$5:AD$200,"&gt;1")</f>
        <v>0</v>
      </c>
      <c r="H78" s="22">
        <f>COUNTIFS('Registro Incidencias'!B$5:B$200,"&gt;="&amp;DATE(2026,12,1),'Registro Incidencias'!B$5:B$200,"&lt;="&amp;DATE(2026,12+1,0),'Registro Incidencias'!S$5:S$200,"Juan Luis",'Registro Incidencias'!AE$5:AE$200,"Fallo del técnico")</f>
        <v>0</v>
      </c>
      <c r="I78" s="22">
        <f>COUNTIFS('Registro Incidencias'!B$5:B$200,"&gt;="&amp;DATE(2026,12,1),'Registro Incidencias'!B$5:B$200,"&lt;="&amp;DATE(2026,12+1,0),'Registro Incidencias'!S$5:S$200,"Juan Luis",'Registro Incidencias'!AE$5:AE$200,"Falta de material")</f>
        <v>0</v>
      </c>
      <c r="J78" s="22">
        <f>COUNTIFS('Registro Incidencias'!B$5:B$200,"&gt;="&amp;DATE(2026,12,1),'Registro Incidencias'!B$5:B$200,"&lt;="&amp;DATE(2026,12+1,0),'Registro Incidencias'!S$5:S$200,"Juan Luis",'Registro Incidencias'!AE$5:AE$200,"Causa del cliente")</f>
        <v>0</v>
      </c>
      <c r="K78" s="28">
        <f>SUMIFS('Registro Incidencias'!AQ$5:AQ$200,'Registro Incidencias'!B$5:B$200,"&gt;="&amp;DATE(2026,12,1),'Registro Incidencias'!B$5:B$200,"&lt;="&amp;DATE(2026,12+1,0),'Registro Incidencias'!S$5:S$200,"Juan Luis")</f>
        <v>0</v>
      </c>
      <c r="L78" s="28">
        <f>SUMIFS('Registro Incidencias'!AR$5:AR$200,'Registro Incidencias'!B$5:B$200,"&gt;="&amp;DATE(2026,12,1),'Registro Incidencias'!B$5:B$200,"&lt;="&amp;DATE(2026,12+1,0),'Registro Incidencias'!S$5:S$200,"Juan Luis")</f>
        <v>0</v>
      </c>
      <c r="M78" s="28">
        <f>SUMIFS('Registro Incidencias'!AG$5:AG$200,'Registro Incidencias'!B$5:B$200,"&gt;="&amp;DATE(2026,12,1),'Registro Incidencias'!B$5:B$200,"&lt;="&amp;DATE(2026,12+1,0),'Registro Incidencias'!S$5:S$200,"Juan Luis")</f>
        <v>0</v>
      </c>
      <c r="N78" s="119">
        <f t="shared" si="9"/>
        <v>0</v>
      </c>
      <c r="O78" s="22">
        <f>SUMIFS('Registro Incidencias'!X$5:X$200,'Registro Incidencias'!B$5:B$200,"&gt;="&amp;DATE(2026,12,1),'Registro Incidencias'!B$5:B$200,"&lt;="&amp;DATE(2026,12+1,0),'Registro Incidencias'!S$5:S$200,"Juan Luis")</f>
        <v>0</v>
      </c>
      <c r="P78" s="30">
        <f>IFERROR(AVERAGEIFS('Registro Incidencias'!AO$5:AO$200,'Registro Incidencias'!B$5:B$200,"&gt;="&amp;DATE(2026,12,1),'Registro Incidencias'!B$5:B$200,"&lt;="&amp;DATE(2026,12+1,0),'Registro Incidencias'!S$5:S$200,"Juan Luis"),0)</f>
        <v>0</v>
      </c>
      <c r="Q78" s="109">
        <f t="shared" si="10"/>
        <v>0</v>
      </c>
      <c r="R78" s="30">
        <f>IFERROR(D78/DAY(DATE(2026,12+1,0)),0)</f>
        <v>0</v>
      </c>
    </row>
    <row r="79" spans="1:18" x14ac:dyDescent="0.25">
      <c r="A79" s="33"/>
      <c r="B79" s="106" t="s">
        <v>79</v>
      </c>
      <c r="C79" s="39">
        <v>13.5</v>
      </c>
      <c r="D79" s="33">
        <f>COUNTIFS('Registro Incidencias'!B$5:B$200,"&gt;="&amp;DATE(2026,12,1),'Registro Incidencias'!B$5:B$200,"&lt;="&amp;DATE(2026,12+1,0),'Registro Incidencias'!S$5:S$200,"Paco")</f>
        <v>0</v>
      </c>
      <c r="E79" s="33">
        <f>COUNTIFS('Registro Incidencias'!B$5:B$200,"&gt;="&amp;DATE(2026,12,1),'Registro Incidencias'!B$5:B$200,"&lt;="&amp;DATE(2026,12+1,0),'Registro Incidencias'!S$5:S$200,"Paco",'Registro Incidencias'!AK$5:AK$200,"*Resuelta*")+COUNTIFS('Registro Incidencias'!B$5:B$200,"&gt;="&amp;DATE(2026,12,1),'Registro Incidencias'!B$5:B$200,"&lt;="&amp;DATE(2026,12+1,0),'Registro Incidencias'!S$5:S$200,"Paco",'Registro Incidencias'!AK$5:AK$200,"*Cerrada*")</f>
        <v>0</v>
      </c>
      <c r="F79" s="107">
        <f t="shared" si="8"/>
        <v>0</v>
      </c>
      <c r="G79" s="33">
        <f>COUNTIFS('Registro Incidencias'!B$5:B$200,"&gt;="&amp;DATE(2026,12,1),'Registro Incidencias'!B$5:B$200,"&lt;="&amp;DATE(2026,12+1,0),'Registro Incidencias'!S$5:S$200,"Paco",'Registro Incidencias'!AD$5:AD$200,"&gt;1")</f>
        <v>0</v>
      </c>
      <c r="H79" s="33">
        <f>COUNTIFS('Registro Incidencias'!B$5:B$200,"&gt;="&amp;DATE(2026,12,1),'Registro Incidencias'!B$5:B$200,"&lt;="&amp;DATE(2026,12+1,0),'Registro Incidencias'!S$5:S$200,"Paco",'Registro Incidencias'!AE$5:AE$200,"Fallo del técnico")</f>
        <v>0</v>
      </c>
      <c r="I79" s="33">
        <f>COUNTIFS('Registro Incidencias'!B$5:B$200,"&gt;="&amp;DATE(2026,12,1),'Registro Incidencias'!B$5:B$200,"&lt;="&amp;DATE(2026,12+1,0),'Registro Incidencias'!S$5:S$200,"Paco",'Registro Incidencias'!AE$5:AE$200,"Falta de material")</f>
        <v>0</v>
      </c>
      <c r="J79" s="33">
        <f>COUNTIFS('Registro Incidencias'!B$5:B$200,"&gt;="&amp;DATE(2026,12,1),'Registro Incidencias'!B$5:B$200,"&lt;="&amp;DATE(2026,12+1,0),'Registro Incidencias'!S$5:S$200,"Paco",'Registro Incidencias'!AE$5:AE$200,"Causa del cliente")</f>
        <v>0</v>
      </c>
      <c r="K79" s="39">
        <f>SUMIFS('Registro Incidencias'!AQ$5:AQ$200,'Registro Incidencias'!B$5:B$200,"&gt;="&amp;DATE(2026,12,1),'Registro Incidencias'!B$5:B$200,"&lt;="&amp;DATE(2026,12+1,0),'Registro Incidencias'!S$5:S$200,"Paco")</f>
        <v>0</v>
      </c>
      <c r="L79" s="39">
        <f>SUMIFS('Registro Incidencias'!AR$5:AR$200,'Registro Incidencias'!B$5:B$200,"&gt;="&amp;DATE(2026,12,1),'Registro Incidencias'!B$5:B$200,"&lt;="&amp;DATE(2026,12+1,0),'Registro Incidencias'!S$5:S$200,"Paco")</f>
        <v>0</v>
      </c>
      <c r="M79" s="39">
        <f>SUMIFS('Registro Incidencias'!AG$5:AG$200,'Registro Incidencias'!B$5:B$200,"&gt;="&amp;DATE(2026,12,1),'Registro Incidencias'!B$5:B$200,"&lt;="&amp;DATE(2026,12+1,0),'Registro Incidencias'!S$5:S$200,"Paco")</f>
        <v>0</v>
      </c>
      <c r="N79" s="117">
        <f t="shared" si="9"/>
        <v>0</v>
      </c>
      <c r="O79" s="33">
        <f>SUMIFS('Registro Incidencias'!X$5:X$200,'Registro Incidencias'!B$5:B$200,"&gt;="&amp;DATE(2026,12,1),'Registro Incidencias'!B$5:B$200,"&lt;="&amp;DATE(2026,12+1,0),'Registro Incidencias'!S$5:S$200,"Paco")</f>
        <v>0</v>
      </c>
      <c r="P79" s="41">
        <f>IFERROR(AVERAGEIFS('Registro Incidencias'!AO$5:AO$200,'Registro Incidencias'!B$5:B$200,"&gt;="&amp;DATE(2026,12,1),'Registro Incidencias'!B$5:B$200,"&lt;="&amp;DATE(2026,12+1,0),'Registro Incidencias'!S$5:S$200,"Paco"),0)</f>
        <v>0</v>
      </c>
      <c r="Q79" s="107">
        <f t="shared" si="10"/>
        <v>0</v>
      </c>
      <c r="R79" s="41">
        <f>IFERROR(D79/DAY(DATE(2026,12+1,0)),0)</f>
        <v>0</v>
      </c>
    </row>
    <row r="80" spans="1:18" x14ac:dyDescent="0.25">
      <c r="A80" s="22"/>
      <c r="B80" s="108" t="s">
        <v>80</v>
      </c>
      <c r="C80" s="28">
        <v>18.899999999999999</v>
      </c>
      <c r="D80" s="22">
        <f>COUNTIFS('Registro Incidencias'!B$5:B$200,"&gt;="&amp;DATE(2026,12,1),'Registro Incidencias'!B$5:B$200,"&lt;="&amp;DATE(2026,12+1,0),'Registro Incidencias'!S$5:S$200,"Juan Manuel")</f>
        <v>0</v>
      </c>
      <c r="E80" s="22">
        <f>COUNTIFS('Registro Incidencias'!B$5:B$200,"&gt;="&amp;DATE(2026,12,1),'Registro Incidencias'!B$5:B$200,"&lt;="&amp;DATE(2026,12+1,0),'Registro Incidencias'!S$5:S$200,"Juan Manuel",'Registro Incidencias'!AK$5:AK$200,"*Resuelta*")+COUNTIFS('Registro Incidencias'!B$5:B$200,"&gt;="&amp;DATE(2026,12,1),'Registro Incidencias'!B$5:B$200,"&lt;="&amp;DATE(2026,12+1,0),'Registro Incidencias'!S$5:S$200,"Juan Manuel",'Registro Incidencias'!AK$5:AK$200,"*Cerrada*")</f>
        <v>0</v>
      </c>
      <c r="F80" s="109">
        <f t="shared" si="8"/>
        <v>0</v>
      </c>
      <c r="G80" s="22">
        <f>COUNTIFS('Registro Incidencias'!B$5:B$200,"&gt;="&amp;DATE(2026,12,1),'Registro Incidencias'!B$5:B$200,"&lt;="&amp;DATE(2026,12+1,0),'Registro Incidencias'!S$5:S$200,"Juan Manuel",'Registro Incidencias'!AD$5:AD$200,"&gt;1")</f>
        <v>0</v>
      </c>
      <c r="H80" s="22">
        <f>COUNTIFS('Registro Incidencias'!B$5:B$200,"&gt;="&amp;DATE(2026,12,1),'Registro Incidencias'!B$5:B$200,"&lt;="&amp;DATE(2026,12+1,0),'Registro Incidencias'!S$5:S$200,"Juan Manuel",'Registro Incidencias'!AE$5:AE$200,"Fallo del técnico")</f>
        <v>0</v>
      </c>
      <c r="I80" s="22">
        <f>COUNTIFS('Registro Incidencias'!B$5:B$200,"&gt;="&amp;DATE(2026,12,1),'Registro Incidencias'!B$5:B$200,"&lt;="&amp;DATE(2026,12+1,0),'Registro Incidencias'!S$5:S$200,"Juan Manuel",'Registro Incidencias'!AE$5:AE$200,"Falta de material")</f>
        <v>0</v>
      </c>
      <c r="J80" s="22">
        <f>COUNTIFS('Registro Incidencias'!B$5:B$200,"&gt;="&amp;DATE(2026,12,1),'Registro Incidencias'!B$5:B$200,"&lt;="&amp;DATE(2026,12+1,0),'Registro Incidencias'!S$5:S$200,"Juan Manuel",'Registro Incidencias'!AE$5:AE$200,"Causa del cliente")</f>
        <v>0</v>
      </c>
      <c r="K80" s="28">
        <f>SUMIFS('Registro Incidencias'!AQ$5:AQ$200,'Registro Incidencias'!B$5:B$200,"&gt;="&amp;DATE(2026,12,1),'Registro Incidencias'!B$5:B$200,"&lt;="&amp;DATE(2026,12+1,0),'Registro Incidencias'!S$5:S$200,"Juan Manuel")</f>
        <v>0</v>
      </c>
      <c r="L80" s="28">
        <f>SUMIFS('Registro Incidencias'!AR$5:AR$200,'Registro Incidencias'!B$5:B$200,"&gt;="&amp;DATE(2026,12,1),'Registro Incidencias'!B$5:B$200,"&lt;="&amp;DATE(2026,12+1,0),'Registro Incidencias'!S$5:S$200,"Juan Manuel")</f>
        <v>0</v>
      </c>
      <c r="M80" s="28">
        <f>SUMIFS('Registro Incidencias'!AG$5:AG$200,'Registro Incidencias'!B$5:B$200,"&gt;="&amp;DATE(2026,12,1),'Registro Incidencias'!B$5:B$200,"&lt;="&amp;DATE(2026,12+1,0),'Registro Incidencias'!S$5:S$200,"Juan Manuel")</f>
        <v>0</v>
      </c>
      <c r="N80" s="119">
        <f t="shared" si="9"/>
        <v>0</v>
      </c>
      <c r="O80" s="22">
        <f>SUMIFS('Registro Incidencias'!X$5:X$200,'Registro Incidencias'!B$5:B$200,"&gt;="&amp;DATE(2026,12,1),'Registro Incidencias'!B$5:B$200,"&lt;="&amp;DATE(2026,12+1,0),'Registro Incidencias'!S$5:S$200,"Juan Manuel")</f>
        <v>0</v>
      </c>
      <c r="P80" s="30">
        <f>IFERROR(AVERAGEIFS('Registro Incidencias'!AO$5:AO$200,'Registro Incidencias'!B$5:B$200,"&gt;="&amp;DATE(2026,12,1),'Registro Incidencias'!B$5:B$200,"&lt;="&amp;DATE(2026,12+1,0),'Registro Incidencias'!S$5:S$200,"Juan Manuel"),0)</f>
        <v>0</v>
      </c>
      <c r="Q80" s="109">
        <f t="shared" si="10"/>
        <v>0</v>
      </c>
      <c r="R80" s="30">
        <f>IFERROR(D80/DAY(DATE(2026,12+1,0)),0)</f>
        <v>0</v>
      </c>
    </row>
    <row r="81" spans="1:18" x14ac:dyDescent="0.25">
      <c r="A81" s="33"/>
      <c r="B81" s="106" t="s">
        <v>81</v>
      </c>
      <c r="C81" s="39">
        <v>13.5</v>
      </c>
      <c r="D81" s="33">
        <f>COUNTIFS('Registro Incidencias'!B$5:B$200,"&gt;="&amp;DATE(2026,12,1),'Registro Incidencias'!B$5:B$200,"&lt;="&amp;DATE(2026,12+1,0),'Registro Incidencias'!S$5:S$200,"Adrián")</f>
        <v>0</v>
      </c>
      <c r="E81" s="33">
        <f>COUNTIFS('Registro Incidencias'!B$5:B$200,"&gt;="&amp;DATE(2026,12,1),'Registro Incidencias'!B$5:B$200,"&lt;="&amp;DATE(2026,12+1,0),'Registro Incidencias'!S$5:S$200,"Adrián",'Registro Incidencias'!AK$5:AK$200,"*Resuelta*")+COUNTIFS('Registro Incidencias'!B$5:B$200,"&gt;="&amp;DATE(2026,12,1),'Registro Incidencias'!B$5:B$200,"&lt;="&amp;DATE(2026,12+1,0),'Registro Incidencias'!S$5:S$200,"Adrián",'Registro Incidencias'!AK$5:AK$200,"*Cerrada*")</f>
        <v>0</v>
      </c>
      <c r="F81" s="107">
        <f t="shared" si="8"/>
        <v>0</v>
      </c>
      <c r="G81" s="33">
        <f>COUNTIFS('Registro Incidencias'!B$5:B$200,"&gt;="&amp;DATE(2026,12,1),'Registro Incidencias'!B$5:B$200,"&lt;="&amp;DATE(2026,12+1,0),'Registro Incidencias'!S$5:S$200,"Adrián",'Registro Incidencias'!AD$5:AD$200,"&gt;1")</f>
        <v>0</v>
      </c>
      <c r="H81" s="33">
        <f>COUNTIFS('Registro Incidencias'!B$5:B$200,"&gt;="&amp;DATE(2026,12,1),'Registro Incidencias'!B$5:B$200,"&lt;="&amp;DATE(2026,12+1,0),'Registro Incidencias'!S$5:S$200,"Adrián",'Registro Incidencias'!AE$5:AE$200,"Fallo del técnico")</f>
        <v>0</v>
      </c>
      <c r="I81" s="33">
        <f>COUNTIFS('Registro Incidencias'!B$5:B$200,"&gt;="&amp;DATE(2026,12,1),'Registro Incidencias'!B$5:B$200,"&lt;="&amp;DATE(2026,12+1,0),'Registro Incidencias'!S$5:S$200,"Adrián",'Registro Incidencias'!AE$5:AE$200,"Falta de material")</f>
        <v>0</v>
      </c>
      <c r="J81" s="33">
        <f>COUNTIFS('Registro Incidencias'!B$5:B$200,"&gt;="&amp;DATE(2026,12,1),'Registro Incidencias'!B$5:B$200,"&lt;="&amp;DATE(2026,12+1,0),'Registro Incidencias'!S$5:S$200,"Adrián",'Registro Incidencias'!AE$5:AE$200,"Causa del cliente")</f>
        <v>0</v>
      </c>
      <c r="K81" s="39">
        <f>SUMIFS('Registro Incidencias'!AQ$5:AQ$200,'Registro Incidencias'!B$5:B$200,"&gt;="&amp;DATE(2026,12,1),'Registro Incidencias'!B$5:B$200,"&lt;="&amp;DATE(2026,12+1,0),'Registro Incidencias'!S$5:S$200,"Adrián")</f>
        <v>0</v>
      </c>
      <c r="L81" s="39">
        <f>SUMIFS('Registro Incidencias'!AR$5:AR$200,'Registro Incidencias'!B$5:B$200,"&gt;="&amp;DATE(2026,12,1),'Registro Incidencias'!B$5:B$200,"&lt;="&amp;DATE(2026,12+1,0),'Registro Incidencias'!S$5:S$200,"Adrián")</f>
        <v>0</v>
      </c>
      <c r="M81" s="39">
        <f>SUMIFS('Registro Incidencias'!AG$5:AG$200,'Registro Incidencias'!B$5:B$200,"&gt;="&amp;DATE(2026,12,1),'Registro Incidencias'!B$5:B$200,"&lt;="&amp;DATE(2026,12+1,0),'Registro Incidencias'!S$5:S$200,"Adrián")</f>
        <v>0</v>
      </c>
      <c r="N81" s="117">
        <f t="shared" si="9"/>
        <v>0</v>
      </c>
      <c r="O81" s="33">
        <f>SUMIFS('Registro Incidencias'!X$5:X$200,'Registro Incidencias'!B$5:B$200,"&gt;="&amp;DATE(2026,12,1),'Registro Incidencias'!B$5:B$200,"&lt;="&amp;DATE(2026,12+1,0),'Registro Incidencias'!S$5:S$200,"Adrián")</f>
        <v>0</v>
      </c>
      <c r="P81" s="41">
        <f>IFERROR(AVERAGEIFS('Registro Incidencias'!AO$5:AO$200,'Registro Incidencias'!B$5:B$200,"&gt;="&amp;DATE(2026,12,1),'Registro Incidencias'!B$5:B$200,"&lt;="&amp;DATE(2026,12+1,0),'Registro Incidencias'!S$5:S$200,"Adrián"),0)</f>
        <v>0</v>
      </c>
      <c r="Q81" s="107">
        <f t="shared" si="10"/>
        <v>0</v>
      </c>
      <c r="R81" s="41">
        <f>IFERROR(D81/DAY(DATE(2026,12+1,0)),0)</f>
        <v>0</v>
      </c>
    </row>
    <row r="84" spans="1:18" ht="15" customHeight="1" x14ac:dyDescent="0.25">
      <c r="A84" s="7" t="s">
        <v>282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8" x14ac:dyDescent="0.25">
      <c r="A85" s="44" t="s">
        <v>283</v>
      </c>
      <c r="B85" s="44" t="s">
        <v>284</v>
      </c>
      <c r="C85" s="44" t="s">
        <v>285</v>
      </c>
      <c r="D85" s="44" t="s">
        <v>286</v>
      </c>
      <c r="E85" s="44" t="s">
        <v>287</v>
      </c>
      <c r="F85" s="44" t="s">
        <v>288</v>
      </c>
      <c r="G85" s="44" t="s">
        <v>289</v>
      </c>
      <c r="H85" s="44" t="s">
        <v>290</v>
      </c>
      <c r="I85" s="44" t="s">
        <v>291</v>
      </c>
      <c r="J85" s="44" t="s">
        <v>292</v>
      </c>
      <c r="K85" s="44" t="s">
        <v>293</v>
      </c>
      <c r="L85" s="44" t="s">
        <v>294</v>
      </c>
      <c r="M85" s="44" t="s">
        <v>295</v>
      </c>
    </row>
    <row r="86" spans="1:18" ht="25.5" x14ac:dyDescent="0.25">
      <c r="A86" s="106" t="s">
        <v>296</v>
      </c>
      <c r="B86" s="88">
        <f>D6</f>
        <v>0</v>
      </c>
      <c r="C86" s="88">
        <f>D7</f>
        <v>0</v>
      </c>
      <c r="D86" s="88">
        <f>D8</f>
        <v>0</v>
      </c>
      <c r="E86" s="88">
        <f>D9</f>
        <v>0</v>
      </c>
      <c r="F86" s="88">
        <f>D10</f>
        <v>0</v>
      </c>
      <c r="G86" s="88">
        <f>D11</f>
        <v>0</v>
      </c>
      <c r="H86" s="88">
        <f>D12</f>
        <v>0</v>
      </c>
      <c r="I86" s="88">
        <f>D13</f>
        <v>0</v>
      </c>
      <c r="J86" s="88">
        <f>D14</f>
        <v>0</v>
      </c>
      <c r="K86" s="88">
        <f>D15</f>
        <v>0</v>
      </c>
      <c r="L86" s="88">
        <f>D16</f>
        <v>0</v>
      </c>
      <c r="M86" s="88">
        <f>D17</f>
        <v>0</v>
      </c>
    </row>
    <row r="87" spans="1:18" x14ac:dyDescent="0.25">
      <c r="A87" s="108" t="s">
        <v>297</v>
      </c>
      <c r="B87" s="94">
        <f>E6</f>
        <v>0</v>
      </c>
      <c r="C87" s="94">
        <f>E7</f>
        <v>0</v>
      </c>
      <c r="D87" s="94">
        <f>E8</f>
        <v>0</v>
      </c>
      <c r="E87" s="94">
        <f>E9</f>
        <v>0</v>
      </c>
      <c r="F87" s="94">
        <f>E10</f>
        <v>0</v>
      </c>
      <c r="G87" s="94">
        <f>E11</f>
        <v>0</v>
      </c>
      <c r="H87" s="94">
        <f>E12</f>
        <v>0</v>
      </c>
      <c r="I87" s="94">
        <f>E13</f>
        <v>0</v>
      </c>
      <c r="J87" s="94">
        <f>E14</f>
        <v>0</v>
      </c>
      <c r="K87" s="94">
        <f>E15</f>
        <v>0</v>
      </c>
      <c r="L87" s="94">
        <f>E16</f>
        <v>0</v>
      </c>
      <c r="M87" s="94">
        <f>E17</f>
        <v>0</v>
      </c>
    </row>
    <row r="88" spans="1:18" ht="25.5" x14ac:dyDescent="0.25">
      <c r="A88" s="106" t="s">
        <v>298</v>
      </c>
      <c r="B88" s="89">
        <f>I6</f>
        <v>0</v>
      </c>
      <c r="C88" s="89">
        <f>I7</f>
        <v>0</v>
      </c>
      <c r="D88" s="89">
        <f>I8</f>
        <v>0</v>
      </c>
      <c r="E88" s="89">
        <f>I9</f>
        <v>0</v>
      </c>
      <c r="F88" s="89">
        <f>I10</f>
        <v>0</v>
      </c>
      <c r="G88" s="89">
        <f>I11</f>
        <v>0</v>
      </c>
      <c r="H88" s="89">
        <f>I12</f>
        <v>0</v>
      </c>
      <c r="I88" s="89">
        <f>I13</f>
        <v>0</v>
      </c>
      <c r="J88" s="89">
        <f>I14</f>
        <v>0</v>
      </c>
      <c r="K88" s="89">
        <f>I15</f>
        <v>0</v>
      </c>
      <c r="L88" s="89">
        <f>I16</f>
        <v>0</v>
      </c>
      <c r="M88" s="89">
        <f>I17</f>
        <v>0</v>
      </c>
    </row>
    <row r="89" spans="1:18" x14ac:dyDescent="0.25">
      <c r="A89" s="108" t="s">
        <v>299</v>
      </c>
      <c r="B89" s="94">
        <f>J6</f>
        <v>0</v>
      </c>
      <c r="C89" s="94">
        <f>J7</f>
        <v>0</v>
      </c>
      <c r="D89" s="94">
        <f>J8</f>
        <v>0</v>
      </c>
      <c r="E89" s="94">
        <f>J9</f>
        <v>0</v>
      </c>
      <c r="F89" s="94">
        <f>J10</f>
        <v>0</v>
      </c>
      <c r="G89" s="94">
        <f>J11</f>
        <v>0</v>
      </c>
      <c r="H89" s="94">
        <f>J12</f>
        <v>0</v>
      </c>
      <c r="I89" s="94">
        <f>J13</f>
        <v>0</v>
      </c>
      <c r="J89" s="94">
        <f>J14</f>
        <v>0</v>
      </c>
      <c r="K89" s="94">
        <f>J15</f>
        <v>0</v>
      </c>
      <c r="L89" s="94">
        <f>J16</f>
        <v>0</v>
      </c>
      <c r="M89" s="94">
        <f>J17</f>
        <v>0</v>
      </c>
    </row>
    <row r="90" spans="1:18" ht="25.5" x14ac:dyDescent="0.25">
      <c r="A90" s="106" t="s">
        <v>300</v>
      </c>
      <c r="B90" s="90">
        <f>O6</f>
        <v>0</v>
      </c>
      <c r="C90" s="90">
        <f>O7</f>
        <v>0</v>
      </c>
      <c r="D90" s="90">
        <f>O8</f>
        <v>0</v>
      </c>
      <c r="E90" s="90">
        <f>O9</f>
        <v>0</v>
      </c>
      <c r="F90" s="90">
        <f>O10</f>
        <v>0</v>
      </c>
      <c r="G90" s="90">
        <f>O11</f>
        <v>0</v>
      </c>
      <c r="H90" s="90">
        <f>O12</f>
        <v>0</v>
      </c>
      <c r="I90" s="90">
        <f>O13</f>
        <v>0</v>
      </c>
      <c r="J90" s="90">
        <f>O14</f>
        <v>0</v>
      </c>
      <c r="K90" s="90">
        <f>O15</f>
        <v>0</v>
      </c>
      <c r="L90" s="90">
        <f>O16</f>
        <v>0</v>
      </c>
      <c r="M90" s="90">
        <f>O17</f>
        <v>0</v>
      </c>
    </row>
    <row r="91" spans="1:18" x14ac:dyDescent="0.25">
      <c r="A91" s="108" t="s">
        <v>301</v>
      </c>
      <c r="B91" s="94">
        <f>P6</f>
        <v>0</v>
      </c>
      <c r="C91" s="94">
        <f>P7</f>
        <v>0</v>
      </c>
      <c r="D91" s="94">
        <f>P8</f>
        <v>0</v>
      </c>
      <c r="E91" s="94">
        <f>P9</f>
        <v>0</v>
      </c>
      <c r="F91" s="94">
        <f>P10</f>
        <v>0</v>
      </c>
      <c r="G91" s="94">
        <f>P11</f>
        <v>0</v>
      </c>
      <c r="H91" s="94">
        <f>P12</f>
        <v>0</v>
      </c>
      <c r="I91" s="94">
        <f>P13</f>
        <v>0</v>
      </c>
      <c r="J91" s="94">
        <f>P14</f>
        <v>0</v>
      </c>
      <c r="K91" s="94">
        <f>P15</f>
        <v>0</v>
      </c>
      <c r="L91" s="94">
        <f>P16</f>
        <v>0</v>
      </c>
      <c r="M91" s="94">
        <f>P17</f>
        <v>0</v>
      </c>
    </row>
  </sheetData>
  <mergeCells count="6">
    <mergeCell ref="A84:M84"/>
    <mergeCell ref="A1:T1"/>
    <mergeCell ref="A2:T2"/>
    <mergeCell ref="A4:T4"/>
    <mergeCell ref="A18:C18"/>
    <mergeCell ref="A20:R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Registro Incidencias</vt:lpstr>
      <vt:lpstr>📅 Semana</vt:lpstr>
      <vt:lpstr>📌 Raúl</vt:lpstr>
      <vt:lpstr>📌 Juan Luis</vt:lpstr>
      <vt:lpstr>📌 Paco</vt:lpstr>
      <vt:lpstr>📌 Juan Manuel</vt:lpstr>
      <vt:lpstr>📌 Adrián</vt:lpstr>
      <vt:lpstr>Dashboard KPIs</vt:lpstr>
      <vt:lpstr>Inventario Materiales</vt:lpstr>
      <vt:lpstr>Configuración</vt:lpstr>
      <vt:lpstr>📊 Histórico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luis palazon nicolas</cp:lastModifiedBy>
  <cp:revision>0</cp:revision>
  <dcterms:created xsi:type="dcterms:W3CDTF">2026-02-12T23:24:35Z</dcterms:created>
  <dcterms:modified xsi:type="dcterms:W3CDTF">2026-02-13T01:07:52Z</dcterms:modified>
  <dc:language>en-US</dc:language>
</cp:coreProperties>
</file>